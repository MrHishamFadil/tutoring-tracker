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ve Ticking Tracker" sheetId="1" state="visible" r:id="rId1"/>
    <sheet xmlns:r="http://schemas.openxmlformats.org/officeDocument/2006/relationships" name="Downloaded 17-Oct Baseline" sheetId="2" state="visible" r:id="rId2"/>
    <sheet xmlns:r="http://schemas.openxmlformats.org/officeDocument/2006/relationships" name="Stud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 hrs&quot;"/>
    <numFmt numFmtId="165" formatCode="#,##0.00&quot; SAR&quot;"/>
    <numFmt numFmtId="166" formatCode="#,##0.00&quot; SAR/hr&quot;"/>
    <numFmt numFmtId="167" formatCode="0.0"/>
    <numFmt numFmtId="168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9.5"/>
    </font>
    <font>
      <name val="Calibri"/>
      <b val="1"/>
      <color rgb="00334155"/>
      <sz val="8.5"/>
    </font>
    <font>
      <name val="Calibri"/>
      <b val="1"/>
      <color rgb="00047857"/>
      <sz val="13"/>
    </font>
    <font>
      <name val="Calibri"/>
      <b val="1"/>
      <color rgb="001E40AF"/>
      <sz val="13"/>
    </font>
    <font>
      <name val="Calibri"/>
      <b val="1"/>
      <color rgb="00B45309"/>
      <sz val="14"/>
    </font>
    <font>
      <name val="Calibri"/>
      <b val="1"/>
      <color rgb="00334155"/>
      <sz val="12"/>
    </font>
    <font>
      <name val="Calibri"/>
      <b val="1"/>
      <color rgb="00FFFFFF"/>
      <sz val="10"/>
    </font>
    <font>
      <name val="Calibri"/>
      <b val="1"/>
      <color rgb="00047857"/>
      <sz val="11"/>
    </font>
    <font>
      <name val="Calibri"/>
      <b val="1"/>
      <color rgb="00B4530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B45309"/>
      <sz val="11"/>
    </font>
    <font>
      <name val="Calibri"/>
      <i val="1"/>
      <color rgb="0064748B"/>
      <sz val="8.5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center" vertical="center"/>
    </xf>
    <xf numFmtId="166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center" vertical="center"/>
    </xf>
    <xf numFmtId="4" fontId="10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167" fontId="11" fillId="5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2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12" fillId="6" borderId="2" applyAlignment="1" pivotButton="0" quotePrefix="0" xfId="0">
      <alignment horizontal="center" vertical="center"/>
    </xf>
    <xf numFmtId="165" fontId="13" fillId="6" borderId="2" applyAlignment="1" pivotButton="0" quotePrefix="0" xfId="0">
      <alignment horizontal="right" vertical="center"/>
    </xf>
    <xf numFmtId="0" fontId="14" fillId="6" borderId="2" applyAlignment="1" pivotButton="0" quotePrefix="0" xfId="0">
      <alignment horizontal="left" vertical="center"/>
    </xf>
    <xf numFmtId="0" fontId="0" fillId="0" borderId="2" pivotButton="0" quotePrefix="0" xfId="0"/>
    <xf numFmtId="0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8" fontId="11" fillId="0" borderId="1" applyAlignment="1" pivotButton="0" quotePrefix="0" xfId="0">
      <alignment horizontal="right" vertical="center"/>
    </xf>
    <xf numFmtId="0" fontId="12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164" fontId="12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showGridLines="1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6" customWidth="1" min="2" max="2"/>
    <col width="13" customWidth="1" min="3" max="3"/>
    <col width="12" customWidth="1" min="4" max="4"/>
    <col width="20" customWidth="1" min="5" max="5"/>
    <col width="24" customWidth="1" min="6" max="6"/>
    <col width="13" customWidth="1" min="7" max="7"/>
    <col width="10" customWidth="1" min="8" max="8"/>
    <col width="15" customWidth="1" min="9" max="9"/>
    <col width="45" customWidth="1" min="10" max="10"/>
    <col width="40" customWidth="1" min="11" max="11"/>
  </cols>
  <sheetData>
    <row r="1" ht="26" customHeight="1">
      <c r="A1" s="1" t="inlineStr">
        <is>
          <t>TUTORING TRACKER — INTERACTIVE AUTO-READING &amp; TICKING SHEET</t>
        </is>
      </c>
    </row>
    <row r="2" ht="18" customHeight="1">
      <c r="A2" s="2" t="inlineStr">
        <is>
          <t>HOW TO USE: 1) Tick/Untick in Col A to include/exclude. 2) To add a session, just enter Date (Col C), pick Student (Col E), and enter Hours (Col H). Grade, Rate, Total SAR, and Top Cards update automatically!</t>
        </is>
      </c>
    </row>
    <row r="4" ht="20" customHeight="1">
      <c r="A4" s="3" t="inlineStr">
        <is>
          <t>TICKED SESSIONS</t>
        </is>
      </c>
      <c r="B4" s="4" t="n"/>
      <c r="C4" s="4" t="n"/>
      <c r="D4" s="3" t="inlineStr">
        <is>
          <t>TOTAL BILLABLE HOURS</t>
        </is>
      </c>
      <c r="E4" s="4" t="n"/>
      <c r="F4" s="4" t="n"/>
      <c r="G4" s="3" t="inlineStr">
        <is>
          <t>TOTAL BILLABLE AMOUNT (SAR)</t>
        </is>
      </c>
      <c r="H4" s="4" t="n"/>
      <c r="I4" s="4" t="n"/>
      <c r="J4" s="3" t="inlineStr">
        <is>
          <t>EFFECTIVE HOURLY RATE</t>
        </is>
      </c>
      <c r="K4" s="4" t="n"/>
    </row>
    <row r="5" ht="20" customHeight="1">
      <c r="A5" s="5">
        <f>COUNTIF(A9:A128, TRUE)</f>
        <v/>
      </c>
      <c r="B5" s="4" t="n"/>
      <c r="C5" s="4" t="n"/>
      <c r="D5" s="6">
        <f>SUMIF(A9:A128, TRUE, H9:H128)</f>
        <v/>
      </c>
      <c r="E5" s="4" t="n"/>
      <c r="F5" s="4" t="n"/>
      <c r="G5" s="7">
        <f>SUMIF(A9:A128, TRUE, I9:I128)</f>
        <v/>
      </c>
      <c r="H5" s="4" t="n"/>
      <c r="I5" s="4" t="n"/>
      <c r="J5" s="8">
        <f>IF(D5&gt;0, G5/D5, 0)</f>
        <v/>
      </c>
      <c r="K5" s="4" t="n"/>
    </row>
    <row r="7" ht="6" customHeight="1"/>
    <row r="8" ht="24" customHeight="1">
      <c r="A8" s="9" t="inlineStr">
        <is>
          <t>Attended? [✓]</t>
        </is>
      </c>
      <c r="B8" s="9" t="inlineStr">
        <is>
          <t>#</t>
        </is>
      </c>
      <c r="C8" s="9" t="inlineStr">
        <is>
          <t>Date</t>
        </is>
      </c>
      <c r="D8" s="9" t="inlineStr">
        <is>
          <t>Weekday</t>
        </is>
      </c>
      <c r="E8" s="10" t="inlineStr">
        <is>
          <t>Student Name</t>
        </is>
      </c>
      <c r="F8" s="10" t="inlineStr">
        <is>
          <t>Grade / School</t>
        </is>
      </c>
      <c r="G8" s="11" t="inlineStr">
        <is>
          <t>Rate (SAR)</t>
        </is>
      </c>
      <c r="H8" s="9" t="inlineStr">
        <is>
          <t>Hours</t>
        </is>
      </c>
      <c r="I8" s="11" t="inlineStr">
        <is>
          <t>Total (SAR)</t>
        </is>
      </c>
      <c r="J8" s="10" t="inlineStr">
        <is>
          <t>Curriculum / Topic</t>
        </is>
      </c>
      <c r="K8" s="10" t="inlineStr">
        <is>
          <t>Notes / Details</t>
        </is>
      </c>
    </row>
    <row r="9" ht="20" customHeight="1">
      <c r="A9" s="12" t="b">
        <v>1</v>
      </c>
      <c r="B9" s="13" t="n">
        <v>1</v>
      </c>
      <c r="C9" s="13" t="inlineStr">
        <is>
          <t>2026-09-06</t>
        </is>
      </c>
      <c r="D9" s="13" t="inlineStr">
        <is>
          <t>Sunday</t>
        </is>
      </c>
      <c r="E9" s="14" t="inlineStr">
        <is>
          <t>Shadan</t>
        </is>
      </c>
      <c r="F9" s="14" t="inlineStr">
        <is>
          <t>Grade 11A (Girls)</t>
        </is>
      </c>
      <c r="G9" s="15" t="n">
        <v>125</v>
      </c>
      <c r="H9" s="16" t="n">
        <v>2</v>
      </c>
      <c r="I9" s="17">
        <f>IF(AND(H9&lt;&gt;"", G9&lt;&gt;""), H9*G9, "")</f>
        <v/>
      </c>
      <c r="J9" s="14" t="inlineStr">
        <is>
          <t>Setting up Account on ETEC + GAT Warm up</t>
        </is>
      </c>
      <c r="K9" s="14" t="inlineStr">
        <is>
          <t>Setting up Account on ETEC + GAT Warm up</t>
        </is>
      </c>
    </row>
    <row r="10" ht="20" customHeight="1">
      <c r="A10" s="12" t="b">
        <v>1</v>
      </c>
      <c r="B10" s="18" t="n">
        <v>2</v>
      </c>
      <c r="C10" s="18" t="inlineStr">
        <is>
          <t>2026-09-13</t>
        </is>
      </c>
      <c r="D10" s="18" t="inlineStr">
        <is>
          <t>Sunday</t>
        </is>
      </c>
      <c r="E10" s="19" t="inlineStr">
        <is>
          <t>Shadan</t>
        </is>
      </c>
      <c r="F10" s="19" t="inlineStr">
        <is>
          <t>Grade 11A (Girls)</t>
        </is>
      </c>
      <c r="G10" s="20" t="n">
        <v>125</v>
      </c>
      <c r="H10" s="21" t="n">
        <v>2</v>
      </c>
      <c r="I10" s="22">
        <f>IF(AND(H10&lt;&gt;"", G10&lt;&gt;""), H10*G10, "")</f>
        <v/>
      </c>
      <c r="J10" s="19" t="inlineStr">
        <is>
          <t>Shadan: Biology &amp; Lulu: English</t>
        </is>
      </c>
      <c r="K10" s="19" t="inlineStr">
        <is>
          <t>Biology and English tutoring session</t>
        </is>
      </c>
    </row>
    <row r="11" ht="20" customHeight="1">
      <c r="A11" s="12" t="b">
        <v>1</v>
      </c>
      <c r="B11" s="13" t="n">
        <v>3</v>
      </c>
      <c r="C11" s="13" t="inlineStr">
        <is>
          <t>2026-09-14</t>
        </is>
      </c>
      <c r="D11" s="13" t="inlineStr">
        <is>
          <t>Monday</t>
        </is>
      </c>
      <c r="E11" s="14" t="inlineStr">
        <is>
          <t>Talal</t>
        </is>
      </c>
      <c r="F11" s="14" t="inlineStr">
        <is>
          <t>Grade 9B (Boys)</t>
        </is>
      </c>
      <c r="G11" s="15" t="n">
        <v>125</v>
      </c>
      <c r="H11" s="16" t="n">
        <v>1</v>
      </c>
      <c r="I11" s="17">
        <f>IF(AND(H11&lt;&gt;"", G11&lt;&gt;""), H11*G11, "")</f>
        <v/>
      </c>
      <c r="J11" s="14" t="inlineStr">
        <is>
          <t>English for both</t>
        </is>
      </c>
      <c r="K11" s="14" t="inlineStr">
        <is>
          <t>English tutoring session</t>
        </is>
      </c>
    </row>
    <row r="12" ht="20" customHeight="1">
      <c r="A12" s="12" t="b">
        <v>1</v>
      </c>
      <c r="B12" s="18" t="n">
        <v>4</v>
      </c>
      <c r="C12" s="18" t="inlineStr">
        <is>
          <t>2026-09-14</t>
        </is>
      </c>
      <c r="D12" s="18" t="inlineStr">
        <is>
          <t>Monday</t>
        </is>
      </c>
      <c r="E12" s="19" t="inlineStr">
        <is>
          <t>Nawaf</t>
        </is>
      </c>
      <c r="F12" s="19" t="inlineStr">
        <is>
          <t>Grade 9B (Boys)</t>
        </is>
      </c>
      <c r="G12" s="20" t="n">
        <v>125</v>
      </c>
      <c r="H12" s="21" t="n">
        <v>1</v>
      </c>
      <c r="I12" s="22">
        <f>IF(AND(H12&lt;&gt;"", G12&lt;&gt;""), H12*G12, "")</f>
        <v/>
      </c>
      <c r="J12" s="19" t="inlineStr">
        <is>
          <t>English for both</t>
        </is>
      </c>
      <c r="K12" s="19" t="inlineStr">
        <is>
          <t>English tutoring session</t>
        </is>
      </c>
    </row>
    <row r="13" ht="20" customHeight="1">
      <c r="A13" s="12" t="b">
        <v>1</v>
      </c>
      <c r="B13" s="13" t="n">
        <v>5</v>
      </c>
      <c r="C13" s="13" t="inlineStr">
        <is>
          <t>2026-09-16</t>
        </is>
      </c>
      <c r="D13" s="13" t="inlineStr">
        <is>
          <t>Wednesday</t>
        </is>
      </c>
      <c r="E13" s="14" t="inlineStr">
        <is>
          <t>Talal</t>
        </is>
      </c>
      <c r="F13" s="14" t="inlineStr">
        <is>
          <t>Grade 9B (Boys)</t>
        </is>
      </c>
      <c r="G13" s="15" t="n">
        <v>125</v>
      </c>
      <c r="H13" s="16" t="n">
        <v>1</v>
      </c>
      <c r="I13" s="17">
        <f>IF(AND(H13&lt;&gt;"", G13&lt;&gt;""), H13*G13, "")</f>
        <v/>
      </c>
      <c r="J13" s="14" t="inlineStr">
        <is>
          <t>Math for both</t>
        </is>
      </c>
      <c r="K13" s="14" t="inlineStr">
        <is>
          <t>Math tutoring session</t>
        </is>
      </c>
    </row>
    <row r="14" ht="20" customHeight="1">
      <c r="A14" s="12" t="b">
        <v>1</v>
      </c>
      <c r="B14" s="18" t="n">
        <v>6</v>
      </c>
      <c r="C14" s="18" t="inlineStr">
        <is>
          <t>2026-09-16</t>
        </is>
      </c>
      <c r="D14" s="18" t="inlineStr">
        <is>
          <t>Wednesday</t>
        </is>
      </c>
      <c r="E14" s="19" t="inlineStr">
        <is>
          <t>Nawaf</t>
        </is>
      </c>
      <c r="F14" s="19" t="inlineStr">
        <is>
          <t>Grade 9B (Boys)</t>
        </is>
      </c>
      <c r="G14" s="20" t="n">
        <v>125</v>
      </c>
      <c r="H14" s="21" t="n">
        <v>1</v>
      </c>
      <c r="I14" s="22">
        <f>IF(AND(H14&lt;&gt;"", G14&lt;&gt;""), H14*G14, "")</f>
        <v/>
      </c>
      <c r="J14" s="19" t="inlineStr">
        <is>
          <t>Math for both</t>
        </is>
      </c>
      <c r="K14" s="19" t="inlineStr">
        <is>
          <t>Math tutoring session</t>
        </is>
      </c>
    </row>
    <row r="15" ht="20" customHeight="1">
      <c r="A15" s="12" t="b">
        <v>1</v>
      </c>
      <c r="B15" s="13" t="n">
        <v>7</v>
      </c>
      <c r="C15" s="13" t="inlineStr">
        <is>
          <t>2026-09-20</t>
        </is>
      </c>
      <c r="D15" s="13" t="inlineStr">
        <is>
          <t>Sunday</t>
        </is>
      </c>
      <c r="E15" s="14" t="inlineStr">
        <is>
          <t>Shadan</t>
        </is>
      </c>
      <c r="F15" s="14" t="inlineStr">
        <is>
          <t>Grade 11A (Girls)</t>
        </is>
      </c>
      <c r="G15" s="15" t="n">
        <v>125</v>
      </c>
      <c r="H15" s="16" t="n">
        <v>1</v>
      </c>
      <c r="I15" s="17">
        <f>IF(AND(H15&lt;&gt;"", G15&lt;&gt;""), H15*G15, "")</f>
        <v/>
      </c>
      <c r="J15" s="14" t="inlineStr">
        <is>
          <t>Shadan - GAT, Lulu: English</t>
        </is>
      </c>
      <c r="K15" s="14" t="inlineStr">
        <is>
          <t>GAT and English tutoring session</t>
        </is>
      </c>
    </row>
    <row r="16" ht="20" customHeight="1">
      <c r="A16" s="12" t="b">
        <v>1</v>
      </c>
      <c r="B16" s="18" t="n">
        <v>8</v>
      </c>
      <c r="C16" s="18" t="inlineStr">
        <is>
          <t>2026-09-20</t>
        </is>
      </c>
      <c r="D16" s="18" t="inlineStr">
        <is>
          <t>Sunday</t>
        </is>
      </c>
      <c r="E16" s="19" t="inlineStr">
        <is>
          <t>Elyana</t>
        </is>
      </c>
      <c r="F16" s="19" t="inlineStr">
        <is>
          <t>Grade 9A (Girls)</t>
        </is>
      </c>
      <c r="G16" s="20" t="n">
        <v>125</v>
      </c>
      <c r="H16" s="21" t="n">
        <v>1</v>
      </c>
      <c r="I16" s="22">
        <f>IF(AND(H16&lt;&gt;"", G16&lt;&gt;""), H16*G16, "")</f>
        <v/>
      </c>
      <c r="J16" s="19" t="inlineStr">
        <is>
          <t>Shadan - GAT, Lulu: English</t>
        </is>
      </c>
      <c r="K16" s="19" t="inlineStr">
        <is>
          <t>English tutoring session</t>
        </is>
      </c>
    </row>
    <row r="17" ht="20" customHeight="1">
      <c r="A17" s="12" t="b">
        <v>1</v>
      </c>
      <c r="B17" s="13" t="n">
        <v>9</v>
      </c>
      <c r="C17" s="13" t="inlineStr">
        <is>
          <t>2026-09-22</t>
        </is>
      </c>
      <c r="D17" s="13" t="inlineStr">
        <is>
          <t>Tuesday</t>
        </is>
      </c>
      <c r="E17" s="14" t="inlineStr">
        <is>
          <t>Shadan</t>
        </is>
      </c>
      <c r="F17" s="14" t="inlineStr">
        <is>
          <t>Grade 11A (Girls)</t>
        </is>
      </c>
      <c r="G17" s="15" t="n">
        <v>125</v>
      </c>
      <c r="H17" s="16" t="n">
        <v>1</v>
      </c>
      <c r="I17" s="17">
        <f>IF(AND(H17&lt;&gt;"", G17&lt;&gt;""), H17*G17, "")</f>
        <v/>
      </c>
      <c r="J17" s="14" t="inlineStr">
        <is>
          <t>Shadan Math-GAT, Talal Math</t>
        </is>
      </c>
      <c r="K17" s="14" t="inlineStr">
        <is>
          <t>Math and GAT session</t>
        </is>
      </c>
    </row>
    <row r="18" ht="20" customHeight="1">
      <c r="A18" s="12" t="b">
        <v>1</v>
      </c>
      <c r="B18" s="18" t="n">
        <v>10</v>
      </c>
      <c r="C18" s="18" t="inlineStr">
        <is>
          <t>2026-09-22</t>
        </is>
      </c>
      <c r="D18" s="18" t="inlineStr">
        <is>
          <t>Tuesday</t>
        </is>
      </c>
      <c r="E18" s="19" t="inlineStr">
        <is>
          <t>Talal</t>
        </is>
      </c>
      <c r="F18" s="19" t="inlineStr">
        <is>
          <t>Grade 9B (Boys)</t>
        </is>
      </c>
      <c r="G18" s="20" t="n">
        <v>125</v>
      </c>
      <c r="H18" s="21" t="n">
        <v>1</v>
      </c>
      <c r="I18" s="22">
        <f>IF(AND(H18&lt;&gt;"", G18&lt;&gt;""), H18*G18, "")</f>
        <v/>
      </c>
      <c r="J18" s="19" t="inlineStr">
        <is>
          <t>Shadan Math-GAT, Talal Math</t>
        </is>
      </c>
      <c r="K18" s="19" t="inlineStr">
        <is>
          <t>Math session</t>
        </is>
      </c>
    </row>
    <row r="19" ht="20" customHeight="1">
      <c r="A19" s="12" t="b">
        <v>1</v>
      </c>
      <c r="B19" s="13" t="n">
        <v>11</v>
      </c>
      <c r="C19" s="13" t="inlineStr">
        <is>
          <t>2026-09-27</t>
        </is>
      </c>
      <c r="D19" s="13" t="inlineStr">
        <is>
          <t>Sunday</t>
        </is>
      </c>
      <c r="E19" s="14" t="inlineStr">
        <is>
          <t>Talal</t>
        </is>
      </c>
      <c r="F19" s="14" t="inlineStr">
        <is>
          <t>Grade 9B (Boys)</t>
        </is>
      </c>
      <c r="G19" s="15" t="n">
        <v>125</v>
      </c>
      <c r="H19" s="16" t="n">
        <v>1</v>
      </c>
      <c r="I19" s="17">
        <f>IF(AND(H19&lt;&gt;"", G19&lt;&gt;""), H19*G19, "")</f>
        <v/>
      </c>
      <c r="J19" s="14" t="inlineStr">
        <is>
          <t>Grade 9B (Boys) English &amp; Tutoring</t>
        </is>
      </c>
      <c r="K19" s="14" t="inlineStr"/>
    </row>
    <row r="20" ht="20" customHeight="1">
      <c r="A20" s="12" t="b">
        <v>1</v>
      </c>
      <c r="B20" s="18" t="n">
        <v>12</v>
      </c>
      <c r="C20" s="18" t="inlineStr">
        <is>
          <t>2026-09-28</t>
        </is>
      </c>
      <c r="D20" s="18" t="inlineStr">
        <is>
          <t>Monday</t>
        </is>
      </c>
      <c r="E20" s="19" t="inlineStr">
        <is>
          <t>Elyana</t>
        </is>
      </c>
      <c r="F20" s="19" t="inlineStr">
        <is>
          <t>Grade 9A (Girls)</t>
        </is>
      </c>
      <c r="G20" s="20" t="n">
        <v>125</v>
      </c>
      <c r="H20" s="21" t="n">
        <v>1</v>
      </c>
      <c r="I20" s="22">
        <f>IF(AND(H20&lt;&gt;"", G20&lt;&gt;""), H20*G20, "")</f>
        <v/>
      </c>
      <c r="J20" s="19" t="inlineStr">
        <is>
          <t>Grade 9A (Girls) English &amp; Tutoring</t>
        </is>
      </c>
      <c r="K20" s="19" t="inlineStr"/>
    </row>
    <row r="21" ht="20" customHeight="1">
      <c r="A21" s="12" t="b">
        <v>1</v>
      </c>
      <c r="B21" s="13" t="n">
        <v>13</v>
      </c>
      <c r="C21" s="13" t="inlineStr">
        <is>
          <t>2026-09-28</t>
        </is>
      </c>
      <c r="D21" s="13" t="inlineStr">
        <is>
          <t>Monday</t>
        </is>
      </c>
      <c r="E21" s="14" t="inlineStr">
        <is>
          <t>Talal</t>
        </is>
      </c>
      <c r="F21" s="14" t="inlineStr">
        <is>
          <t>Grade 9B (Boys)</t>
        </is>
      </c>
      <c r="G21" s="15" t="n">
        <v>125</v>
      </c>
      <c r="H21" s="16" t="n">
        <v>1</v>
      </c>
      <c r="I21" s="17">
        <f>IF(AND(H21&lt;&gt;"", G21&lt;&gt;""), H21*G21, "")</f>
        <v/>
      </c>
      <c r="J21" s="14" t="inlineStr">
        <is>
          <t>Grade 9B (Boys) English &amp; Tutoring</t>
        </is>
      </c>
      <c r="K21" s="14" t="inlineStr"/>
    </row>
    <row r="22" ht="20" customHeight="1">
      <c r="A22" s="12" t="b">
        <v>1</v>
      </c>
      <c r="B22" s="18" t="n">
        <v>14</v>
      </c>
      <c r="C22" s="18" t="inlineStr">
        <is>
          <t>2026-09-30</t>
        </is>
      </c>
      <c r="D22" s="18" t="inlineStr">
        <is>
          <t>Wednesday</t>
        </is>
      </c>
      <c r="E22" s="19" t="inlineStr">
        <is>
          <t>Abdullah AlRubiyan</t>
        </is>
      </c>
      <c r="F22" s="19" t="inlineStr">
        <is>
          <t>Grade 9 American (MIS)</t>
        </is>
      </c>
      <c r="G22" s="20" t="n">
        <v>150</v>
      </c>
      <c r="H22" s="21" t="n">
        <v>1</v>
      </c>
      <c r="I22" s="22">
        <f>IF(AND(H22&lt;&gt;"", G22&lt;&gt;""), H22*G22, "")</f>
        <v/>
      </c>
      <c r="J22" s="19" t="inlineStr">
        <is>
          <t>Special Tutoring Secondary Prep English &amp; Tutoring</t>
        </is>
      </c>
      <c r="K22" s="19" t="inlineStr"/>
    </row>
    <row r="23" ht="20" customHeight="1">
      <c r="A23" s="12" t="b">
        <v>1</v>
      </c>
      <c r="B23" s="13" t="n">
        <v>15</v>
      </c>
      <c r="C23" s="13" t="inlineStr">
        <is>
          <t>2026-10-03</t>
        </is>
      </c>
      <c r="D23" s="13" t="inlineStr">
        <is>
          <t>Saturday</t>
        </is>
      </c>
      <c r="E23" s="14" t="inlineStr">
        <is>
          <t>Abdullah AlRubiyan</t>
        </is>
      </c>
      <c r="F23" s="14" t="inlineStr">
        <is>
          <t>Grade 9 American (MIS)</t>
        </is>
      </c>
      <c r="G23" s="15" t="n">
        <v>150</v>
      </c>
      <c r="H23" s="16" t="n">
        <v>1</v>
      </c>
      <c r="I23" s="17">
        <f>IF(AND(H23&lt;&gt;"", G23&lt;&gt;""), H23*G23, "")</f>
        <v/>
      </c>
      <c r="J23" s="14" t="inlineStr">
        <is>
          <t>Special Tutoring Secondary Prep English &amp; Tutoring</t>
        </is>
      </c>
      <c r="K23" s="14" t="inlineStr"/>
    </row>
    <row r="24" ht="20" customHeight="1">
      <c r="A24" s="12" t="b">
        <v>1</v>
      </c>
      <c r="B24" s="18" t="n">
        <v>16</v>
      </c>
      <c r="C24" s="18" t="inlineStr">
        <is>
          <t>2026-10-03</t>
        </is>
      </c>
      <c r="D24" s="18" t="inlineStr">
        <is>
          <t>Saturday</t>
        </is>
      </c>
      <c r="E24" s="19" t="inlineStr">
        <is>
          <t>Shadan</t>
        </is>
      </c>
      <c r="F24" s="19" t="inlineStr">
        <is>
          <t>Grade 11A (Girls)</t>
        </is>
      </c>
      <c r="G24" s="20" t="n">
        <v>125</v>
      </c>
      <c r="H24" s="21" t="n">
        <v>1.5</v>
      </c>
      <c r="I24" s="22">
        <f>IF(AND(H24&lt;&gt;"", G24&lt;&gt;""), H24*G24, "")</f>
        <v/>
      </c>
      <c r="J24" s="19" t="inlineStr">
        <is>
          <t>Math: Checkpoint Assessment 1 Revision &amp; Practice</t>
        </is>
      </c>
      <c r="K24" s="19" t="inlineStr"/>
    </row>
    <row r="25" ht="20" customHeight="1">
      <c r="A25" s="12" t="b">
        <v>1</v>
      </c>
      <c r="B25" s="13" t="n">
        <v>17</v>
      </c>
      <c r="C25" s="13" t="inlineStr">
        <is>
          <t>2026-10-03</t>
        </is>
      </c>
      <c r="D25" s="13" t="inlineStr">
        <is>
          <t>Saturday</t>
        </is>
      </c>
      <c r="E25" s="14" t="inlineStr">
        <is>
          <t>Elyana</t>
        </is>
      </c>
      <c r="F25" s="14" t="inlineStr">
        <is>
          <t>Grade 9A (Girls)</t>
        </is>
      </c>
      <c r="G25" s="15" t="n">
        <v>125</v>
      </c>
      <c r="H25" s="16" t="n">
        <v>0.5</v>
      </c>
      <c r="I25" s="17">
        <f>IF(AND(H25&lt;&gt;"", G25&lt;&gt;""), H25*G25, "")</f>
        <v/>
      </c>
      <c r="J25" s="14" t="inlineStr">
        <is>
          <t>Math: Checkpoint 1 Revision: Lesson 1-1 Operations on Real Numbers (pp. 8-19)</t>
        </is>
      </c>
      <c r="K25" s="14" t="inlineStr"/>
    </row>
    <row r="26" ht="20" customHeight="1">
      <c r="A26" s="12" t="b">
        <v>1</v>
      </c>
      <c r="B26" s="18" t="n">
        <v>18</v>
      </c>
      <c r="C26" s="18" t="inlineStr">
        <is>
          <t>2026-10-03</t>
        </is>
      </c>
      <c r="D26" s="18" t="inlineStr">
        <is>
          <t>Saturday</t>
        </is>
      </c>
      <c r="E26" s="19" t="inlineStr">
        <is>
          <t>Talal</t>
        </is>
      </c>
      <c r="F26" s="19" t="inlineStr">
        <is>
          <t>Grade 9B (Boys)</t>
        </is>
      </c>
      <c r="G26" s="20" t="n">
        <v>125</v>
      </c>
      <c r="H26" s="21" t="n">
        <v>0.5</v>
      </c>
      <c r="I26" s="22">
        <f>IF(AND(H26&lt;&gt;"", G26&lt;&gt;""), H26*G26, "")</f>
        <v/>
      </c>
      <c r="J26" s="19" t="inlineStr">
        <is>
          <t>Math: Checkpoint 1 Revision: Lesson 1-1 Operations on Real Numbers (pp. 8-19)</t>
        </is>
      </c>
      <c r="K26" s="19" t="inlineStr"/>
    </row>
    <row r="27" ht="20" customHeight="1">
      <c r="A27" s="12" t="b">
        <v>1</v>
      </c>
      <c r="B27" s="13" t="n">
        <v>19</v>
      </c>
      <c r="C27" s="13" t="inlineStr">
        <is>
          <t>2026-10-03</t>
        </is>
      </c>
      <c r="D27" s="13" t="inlineStr">
        <is>
          <t>Saturday</t>
        </is>
      </c>
      <c r="E27" s="14" t="inlineStr">
        <is>
          <t>Nawaf</t>
        </is>
      </c>
      <c r="F27" s="14" t="inlineStr">
        <is>
          <t>Grade 9B (Boys)</t>
        </is>
      </c>
      <c r="G27" s="15" t="n">
        <v>125</v>
      </c>
      <c r="H27" s="16" t="n">
        <v>0.5</v>
      </c>
      <c r="I27" s="17">
        <f>IF(AND(H27&lt;&gt;"", G27&lt;&gt;""), H27*G27, "")</f>
        <v/>
      </c>
      <c r="J27" s="14" t="inlineStr">
        <is>
          <t>Math: Checkpoint 1 Revision: Lesson 1-1 Operations on Real Numbers (pp. 8-19)</t>
        </is>
      </c>
      <c r="K27" s="14" t="inlineStr"/>
    </row>
    <row r="28" ht="20" customHeight="1">
      <c r="A28" s="12" t="b">
        <v>1</v>
      </c>
      <c r="B28" s="18" t="n">
        <v>20</v>
      </c>
      <c r="C28" s="18" t="inlineStr">
        <is>
          <t>2026-10-05</t>
        </is>
      </c>
      <c r="D28" s="18" t="inlineStr">
        <is>
          <t>Monday</t>
        </is>
      </c>
      <c r="E28" s="19" t="inlineStr">
        <is>
          <t>Shadan</t>
        </is>
      </c>
      <c r="F28" s="19" t="inlineStr">
        <is>
          <t>Grade 11A (Girls)</t>
        </is>
      </c>
      <c r="G28" s="20" t="n">
        <v>125</v>
      </c>
      <c r="H28" s="21" t="n">
        <v>0.5</v>
      </c>
      <c r="I28" s="22">
        <f>IF(AND(H28&lt;&gt;"", G28&lt;&gt;""), H28*G28, "")</f>
        <v/>
      </c>
      <c r="J28" s="19" t="inlineStr">
        <is>
          <t>Grade 11A (Girls) English &amp; Tutoring</t>
        </is>
      </c>
      <c r="K28" s="19" t="inlineStr"/>
    </row>
    <row r="29" ht="20" customHeight="1">
      <c r="A29" s="12" t="b">
        <v>1</v>
      </c>
      <c r="B29" s="13" t="n">
        <v>21</v>
      </c>
      <c r="C29" s="13" t="inlineStr">
        <is>
          <t>2026-10-05</t>
        </is>
      </c>
      <c r="D29" s="13" t="inlineStr">
        <is>
          <t>Monday</t>
        </is>
      </c>
      <c r="E29" s="14" t="inlineStr">
        <is>
          <t>Elyana</t>
        </is>
      </c>
      <c r="F29" s="14" t="inlineStr">
        <is>
          <t>Grade 9A (Girls)</t>
        </is>
      </c>
      <c r="G29" s="15" t="n">
        <v>125</v>
      </c>
      <c r="H29" s="16" t="n">
        <v>0.5</v>
      </c>
      <c r="I29" s="17">
        <f>IF(AND(H29&lt;&gt;"", G29&lt;&gt;""), H29*G29, "")</f>
        <v/>
      </c>
      <c r="J29" s="14" t="inlineStr">
        <is>
          <t>Grade 9A (Girls) English &amp; Tutoring</t>
        </is>
      </c>
      <c r="K29" s="14" t="inlineStr"/>
    </row>
    <row r="30" ht="20" customHeight="1">
      <c r="A30" s="12" t="b">
        <v>1</v>
      </c>
      <c r="B30" s="18" t="n">
        <v>22</v>
      </c>
      <c r="C30" s="18" t="inlineStr">
        <is>
          <t>2026-10-05</t>
        </is>
      </c>
      <c r="D30" s="18" t="inlineStr">
        <is>
          <t>Monday</t>
        </is>
      </c>
      <c r="E30" s="19" t="inlineStr">
        <is>
          <t>Talal</t>
        </is>
      </c>
      <c r="F30" s="19" t="inlineStr">
        <is>
          <t>Grade 9B (Boys)</t>
        </is>
      </c>
      <c r="G30" s="20" t="n">
        <v>125</v>
      </c>
      <c r="H30" s="21" t="n">
        <v>0.5</v>
      </c>
      <c r="I30" s="22">
        <f>IF(AND(H30&lt;&gt;"", G30&lt;&gt;""), H30*G30, "")</f>
        <v/>
      </c>
      <c r="J30" s="19" t="inlineStr">
        <is>
          <t>Grade 9B (Boys) English &amp; Tutoring</t>
        </is>
      </c>
      <c r="K30" s="19" t="inlineStr"/>
    </row>
    <row r="31" ht="20" customHeight="1">
      <c r="A31" s="12" t="b">
        <v>1</v>
      </c>
      <c r="B31" s="13" t="n">
        <v>23</v>
      </c>
      <c r="C31" s="13" t="inlineStr">
        <is>
          <t>2026-10-05</t>
        </is>
      </c>
      <c r="D31" s="13" t="inlineStr">
        <is>
          <t>Monday</t>
        </is>
      </c>
      <c r="E31" s="14" t="inlineStr">
        <is>
          <t>Nawaf</t>
        </is>
      </c>
      <c r="F31" s="14" t="inlineStr">
        <is>
          <t>Grade 9B (Boys)</t>
        </is>
      </c>
      <c r="G31" s="15" t="n">
        <v>125</v>
      </c>
      <c r="H31" s="16" t="n">
        <v>0.5</v>
      </c>
      <c r="I31" s="17">
        <f>IF(AND(H31&lt;&gt;"", G31&lt;&gt;""), H31*G31, "")</f>
        <v/>
      </c>
      <c r="J31" s="14" t="inlineStr">
        <is>
          <t>Grade 9B (Boys) English &amp; Tutoring</t>
        </is>
      </c>
      <c r="K31" s="14" t="inlineStr"/>
    </row>
    <row r="32" ht="20" customHeight="1">
      <c r="A32" s="12" t="b">
        <v>1</v>
      </c>
      <c r="B32" s="18" t="n">
        <v>24</v>
      </c>
      <c r="C32" s="18" t="inlineStr">
        <is>
          <t>2026-10-07</t>
        </is>
      </c>
      <c r="D32" s="18" t="inlineStr">
        <is>
          <t>Wednesday</t>
        </is>
      </c>
      <c r="E32" s="19" t="inlineStr">
        <is>
          <t>Nawaf</t>
        </is>
      </c>
      <c r="F32" s="19" t="inlineStr">
        <is>
          <t>Grade 9B (Boys)</t>
        </is>
      </c>
      <c r="G32" s="20" t="n">
        <v>125</v>
      </c>
      <c r="H32" s="21" t="n">
        <v>1.5</v>
      </c>
      <c r="I32" s="22">
        <f>IF(AND(H32&lt;&gt;"", G32&lt;&gt;""), H32*G32, "")</f>
        <v/>
      </c>
      <c r="J32" s="19" t="inlineStr">
        <is>
          <t>Biology: Revision Volume 1 Unit 1 Lesson 1: Understanding Science &amp; Scientific Inquiry (pp. 6-15)</t>
        </is>
      </c>
      <c r="K32" s="19" t="inlineStr"/>
    </row>
    <row r="33" ht="20" customHeight="1">
      <c r="A33" s="12" t="b">
        <v>1</v>
      </c>
      <c r="B33" s="13" t="n">
        <v>25</v>
      </c>
      <c r="C33" s="13" t="inlineStr">
        <is>
          <t>2026-10-07</t>
        </is>
      </c>
      <c r="D33" s="13" t="inlineStr">
        <is>
          <t>Wednesday</t>
        </is>
      </c>
      <c r="E33" s="14" t="inlineStr">
        <is>
          <t>Elyana</t>
        </is>
      </c>
      <c r="F33" s="14" t="inlineStr">
        <is>
          <t>Grade 9A (Girls)</t>
        </is>
      </c>
      <c r="G33" s="15" t="n">
        <v>125</v>
      </c>
      <c r="H33" s="16" t="n">
        <v>1.5</v>
      </c>
      <c r="I33" s="17">
        <f>IF(AND(H33&lt;&gt;"", G33&lt;&gt;""), H33*G33, "")</f>
        <v/>
      </c>
      <c r="J33" s="14" t="inlineStr">
        <is>
          <t>Biology: Volume 3 Unit 6 Chapter 19 Lesson 2: Types of Viruses &amp; Virus-Targeting Vaccines (pp. 14-17)</t>
        </is>
      </c>
      <c r="K33" s="14" t="inlineStr"/>
    </row>
    <row r="34" ht="20" customHeight="1">
      <c r="A34" s="12" t="b">
        <v>1</v>
      </c>
      <c r="B34" s="18" t="n">
        <v>26</v>
      </c>
      <c r="C34" s="18" t="inlineStr">
        <is>
          <t>2026-10-10</t>
        </is>
      </c>
      <c r="D34" s="18" t="inlineStr">
        <is>
          <t>Saturday</t>
        </is>
      </c>
      <c r="E34" s="19" t="inlineStr">
        <is>
          <t>Shadan</t>
        </is>
      </c>
      <c r="F34" s="19" t="inlineStr">
        <is>
          <t>Grade 11A (Girls)</t>
        </is>
      </c>
      <c r="G34" s="20" t="n">
        <v>125</v>
      </c>
      <c r="H34" s="21" t="n">
        <v>1.5</v>
      </c>
      <c r="I34" s="22">
        <f>IF(AND(H34&lt;&gt;"", G34&lt;&gt;""), H34*G34, "")</f>
        <v/>
      </c>
      <c r="J34" s="19" t="inlineStr">
        <is>
          <t>Physics: Fluid Pressure, Density &amp; Buoyant Forces</t>
        </is>
      </c>
      <c r="K34" s="19" t="inlineStr"/>
    </row>
    <row r="35" ht="20" customHeight="1">
      <c r="A35" s="12" t="b">
        <v>1</v>
      </c>
      <c r="B35" s="13" t="n">
        <v>27</v>
      </c>
      <c r="C35" s="13" t="inlineStr">
        <is>
          <t>2026-10-10</t>
        </is>
      </c>
      <c r="D35" s="13" t="inlineStr">
        <is>
          <t>Saturday</t>
        </is>
      </c>
      <c r="E35" s="14" t="inlineStr">
        <is>
          <t>Nawaf</t>
        </is>
      </c>
      <c r="F35" s="14" t="inlineStr">
        <is>
          <t>Grade 9B (Boys)</t>
        </is>
      </c>
      <c r="G35" s="15" t="n">
        <v>125</v>
      </c>
      <c r="H35" s="16" t="n">
        <v>0.5</v>
      </c>
      <c r="I35" s="17">
        <f>IF(AND(H35&lt;&gt;"", G35&lt;&gt;""), H35*G35, "")</f>
        <v/>
      </c>
      <c r="J35" s="14" t="inlineStr">
        <is>
          <t>Grade 9B (Boys) English &amp; Tutoring</t>
        </is>
      </c>
      <c r="K35" s="14" t="inlineStr"/>
    </row>
    <row r="36" ht="20" customHeight="1">
      <c r="A36" s="12" t="b">
        <v>1</v>
      </c>
      <c r="B36" s="18" t="n">
        <v>28</v>
      </c>
      <c r="C36" s="18" t="inlineStr">
        <is>
          <t>2026-10-10</t>
        </is>
      </c>
      <c r="D36" s="18" t="inlineStr">
        <is>
          <t>Saturday</t>
        </is>
      </c>
      <c r="E36" s="19" t="inlineStr">
        <is>
          <t>Elyana</t>
        </is>
      </c>
      <c r="F36" s="19" t="inlineStr">
        <is>
          <t>Grade 9A (Girls)</t>
        </is>
      </c>
      <c r="G36" s="20" t="n">
        <v>125</v>
      </c>
      <c r="H36" s="21" t="n">
        <v>1</v>
      </c>
      <c r="I36" s="22">
        <f>IF(AND(H36&lt;&gt;"", G36&lt;&gt;""), H36*G36, "")</f>
        <v/>
      </c>
      <c r="J36" s="19" t="inlineStr">
        <is>
          <t>Mid-Term Test: Biology</t>
        </is>
      </c>
      <c r="K36" s="19" t="inlineStr">
        <is>
          <t>Intensive review for Mid-Term Test scheduled on 2026-10-28. Focus on required chapters, problems, and revision sheets.</t>
        </is>
      </c>
    </row>
    <row r="37" ht="20" customHeight="1">
      <c r="A37" s="12" t="b">
        <v>1</v>
      </c>
      <c r="B37" s="13" t="n">
        <v>29</v>
      </c>
      <c r="C37" s="13" t="inlineStr">
        <is>
          <t>2026-10-10</t>
        </is>
      </c>
      <c r="D37" s="13" t="inlineStr">
        <is>
          <t>Saturday</t>
        </is>
      </c>
      <c r="E37" s="14" t="inlineStr">
        <is>
          <t>Talal</t>
        </is>
      </c>
      <c r="F37" s="14" t="inlineStr">
        <is>
          <t>Grade 9B (Boys)</t>
        </is>
      </c>
      <c r="G37" s="15" t="n">
        <v>125</v>
      </c>
      <c r="H37" s="16" t="n">
        <v>1</v>
      </c>
      <c r="I37" s="17">
        <f>IF(AND(H37&lt;&gt;"", G37&lt;&gt;""), H37*G37, "")</f>
        <v/>
      </c>
      <c r="J37" s="14" t="inlineStr">
        <is>
          <t>Mid-Term Test: Biology</t>
        </is>
      </c>
      <c r="K37" s="14" t="inlineStr">
        <is>
          <t>Intensive review for Mid-Term Test scheduled on 2026-10-28. Focus on required chapters, problems, and revision sheets.</t>
        </is>
      </c>
    </row>
    <row r="38" ht="20" customHeight="1">
      <c r="A38" s="12" t="b">
        <v>1</v>
      </c>
      <c r="B38" s="18" t="n">
        <v>30</v>
      </c>
      <c r="C38" s="18" t="inlineStr">
        <is>
          <t>2026-10-10</t>
        </is>
      </c>
      <c r="D38" s="18" t="inlineStr">
        <is>
          <t>Saturday</t>
        </is>
      </c>
      <c r="E38" s="19" t="inlineStr">
        <is>
          <t>Abdullah AlRubiyan</t>
        </is>
      </c>
      <c r="F38" s="19" t="inlineStr">
        <is>
          <t>Grade 9 American (MIS)</t>
        </is>
      </c>
      <c r="G38" s="20" t="n">
        <v>150</v>
      </c>
      <c r="H38" s="21" t="n">
        <v>1</v>
      </c>
      <c r="I38" s="22">
        <f>IF(AND(H38&lt;&gt;"", G38&lt;&gt;""), H38*G38, "")</f>
        <v/>
      </c>
      <c r="J38" s="19" t="inlineStr">
        <is>
          <t>Special Tutoring Secondary Prep English &amp; Tutoring</t>
        </is>
      </c>
      <c r="K38" s="19" t="inlineStr"/>
    </row>
    <row r="39" ht="20" customHeight="1">
      <c r="A39" s="12" t="b">
        <v>1</v>
      </c>
      <c r="B39" s="13" t="n">
        <v>31</v>
      </c>
      <c r="C39" s="13" t="inlineStr">
        <is>
          <t>2026-10-11</t>
        </is>
      </c>
      <c r="D39" s="13" t="inlineStr">
        <is>
          <t>Sunday</t>
        </is>
      </c>
      <c r="E39" s="14" t="inlineStr">
        <is>
          <t>Elyana</t>
        </is>
      </c>
      <c r="F39" s="14" t="inlineStr">
        <is>
          <t>Grade 9A (Girls)</t>
        </is>
      </c>
      <c r="G39" s="15" t="n">
        <v>125</v>
      </c>
      <c r="H39" s="16" t="n">
        <v>0.5</v>
      </c>
      <c r="I39" s="17">
        <f>IF(AND(H39&lt;&gt;"", G39&lt;&gt;""), H39*G39, "")</f>
        <v/>
      </c>
      <c r="J39" s="14" t="inlineStr">
        <is>
          <t>Chemistry: Pure Substances vs Mixtures &amp; Progress Check 1 (p. 50)</t>
        </is>
      </c>
      <c r="K39" s="14" t="inlineStr"/>
    </row>
    <row r="40" ht="20" customHeight="1">
      <c r="A40" s="12" t="b">
        <v>1</v>
      </c>
      <c r="B40" s="18" t="n">
        <v>32</v>
      </c>
      <c r="C40" s="18" t="inlineStr">
        <is>
          <t>2026-10-11</t>
        </is>
      </c>
      <c r="D40" s="18" t="inlineStr">
        <is>
          <t>Sunday</t>
        </is>
      </c>
      <c r="E40" s="19" t="inlineStr">
        <is>
          <t>Talal</t>
        </is>
      </c>
      <c r="F40" s="19" t="inlineStr">
        <is>
          <t>Grade 9B (Boys)</t>
        </is>
      </c>
      <c r="G40" s="20" t="n">
        <v>125</v>
      </c>
      <c r="H40" s="21" t="n">
        <v>0.5</v>
      </c>
      <c r="I40" s="22">
        <f>IF(AND(H40&lt;&gt;"", G40&lt;&gt;""), H40*G40, "")</f>
        <v/>
      </c>
      <c r="J40" s="19" t="inlineStr">
        <is>
          <t>Chemistry: Pure Substances vs Mixtures &amp; Progress Check 1 (p. 50)</t>
        </is>
      </c>
      <c r="K40" s="19" t="inlineStr"/>
    </row>
    <row r="41" ht="20" customHeight="1">
      <c r="A41" s="12" t="b">
        <v>1</v>
      </c>
      <c r="B41" s="13" t="n">
        <v>33</v>
      </c>
      <c r="C41" s="13" t="inlineStr">
        <is>
          <t>2026-10-11</t>
        </is>
      </c>
      <c r="D41" s="13" t="inlineStr">
        <is>
          <t>Sunday</t>
        </is>
      </c>
      <c r="E41" s="14" t="inlineStr">
        <is>
          <t>Nawaf</t>
        </is>
      </c>
      <c r="F41" s="14" t="inlineStr">
        <is>
          <t>Grade 9B (Boys)</t>
        </is>
      </c>
      <c r="G41" s="15" t="n">
        <v>125</v>
      </c>
      <c r="H41" s="16" t="n">
        <v>0.5</v>
      </c>
      <c r="I41" s="17">
        <f>IF(AND(H41&lt;&gt;"", G41&lt;&gt;""), H41*G41, "")</f>
        <v/>
      </c>
      <c r="J41" s="14" t="inlineStr">
        <is>
          <t>Chemistry: Pure Substances vs Mixtures &amp; Progress Check 1 (p. 50)</t>
        </is>
      </c>
      <c r="K41" s="14" t="inlineStr"/>
    </row>
    <row r="42" ht="20" customHeight="1">
      <c r="A42" s="12" t="b">
        <v>1</v>
      </c>
      <c r="B42" s="18" t="n">
        <v>34</v>
      </c>
      <c r="C42" s="18" t="inlineStr">
        <is>
          <t>2026-10-11</t>
        </is>
      </c>
      <c r="D42" s="18" t="inlineStr">
        <is>
          <t>Sunday</t>
        </is>
      </c>
      <c r="E42" s="19" t="inlineStr">
        <is>
          <t>Shadan</t>
        </is>
      </c>
      <c r="F42" s="19" t="inlineStr">
        <is>
          <t>Grade 11A (Girls)</t>
        </is>
      </c>
      <c r="G42" s="20" t="n">
        <v>125</v>
      </c>
      <c r="H42" s="21" t="n">
        <v>1</v>
      </c>
      <c r="I42" s="22">
        <f>IF(AND(H42&lt;&gt;"", G42&lt;&gt;""), H42*G42, "")</f>
        <v/>
      </c>
      <c r="J42" s="19" t="inlineStr">
        <is>
          <t>Chemistry: Calorimetric Calculations &amp; Progress Check 4 (p. 108)</t>
        </is>
      </c>
      <c r="K42" s="19" t="inlineStr"/>
    </row>
    <row r="43" ht="20" customHeight="1">
      <c r="A43" s="12" t="b">
        <v>1</v>
      </c>
      <c r="B43" s="13" t="n">
        <v>35</v>
      </c>
      <c r="C43" s="13" t="inlineStr">
        <is>
          <t>2026-10-17</t>
        </is>
      </c>
      <c r="D43" s="13" t="inlineStr">
        <is>
          <t>Saturday</t>
        </is>
      </c>
      <c r="E43" s="14" t="inlineStr">
        <is>
          <t>Abdullah AlRubiyan</t>
        </is>
      </c>
      <c r="F43" s="14" t="inlineStr">
        <is>
          <t>Grade 9 American (MIS)</t>
        </is>
      </c>
      <c r="G43" s="15" t="n">
        <v>150</v>
      </c>
      <c r="H43" s="16" t="n">
        <v>1</v>
      </c>
      <c r="I43" s="17">
        <f>IF(AND(H43&lt;&gt;"", G43&lt;&gt;""), H43*G43, "")</f>
        <v/>
      </c>
      <c r="J43" s="14" t="inlineStr">
        <is>
          <t>Grade 9 American (MIS) English &amp; Tutoring</t>
        </is>
      </c>
      <c r="K43" s="14" t="inlineStr">
        <is>
          <t>We studied English for the coming English test.</t>
        </is>
      </c>
    </row>
    <row r="44" ht="20" customHeight="1">
      <c r="A44" s="12" t="b">
        <v>1</v>
      </c>
      <c r="B44" s="18" t="n">
        <v>36</v>
      </c>
      <c r="C44" s="18" t="inlineStr">
        <is>
          <t>2026-10-19</t>
        </is>
      </c>
      <c r="D44" s="18" t="inlineStr">
        <is>
          <t>Monday</t>
        </is>
      </c>
      <c r="E44" s="19" t="inlineStr">
        <is>
          <t>Talal</t>
        </is>
      </c>
      <c r="F44" s="19" t="inlineStr">
        <is>
          <t>Grade 9B / 7 (Boys)</t>
        </is>
      </c>
      <c r="G44" s="20" t="n">
        <v>125</v>
      </c>
      <c r="H44" s="21" t="n">
        <v>1</v>
      </c>
      <c r="I44" s="22">
        <f>IF(AND(H44&lt;&gt;"", G44&lt;&gt;""), H44*G44, "")</f>
        <v/>
      </c>
      <c r="J44" s="19" t="inlineStr">
        <is>
          <t>Grade 9B (Boys) English, Math &amp; Science Tutoring</t>
        </is>
      </c>
      <c r="K44" s="19" t="inlineStr">
        <is>
          <t>Boys Session: 5:30 – 7:30 PM (1 hr Talal)</t>
        </is>
      </c>
    </row>
    <row r="45" ht="20" customHeight="1">
      <c r="A45" s="12" t="b">
        <v>1</v>
      </c>
      <c r="B45" s="13" t="n">
        <v>37</v>
      </c>
      <c r="C45" s="13" t="inlineStr">
        <is>
          <t>2026-10-19</t>
        </is>
      </c>
      <c r="D45" s="13" t="inlineStr">
        <is>
          <t>Monday</t>
        </is>
      </c>
      <c r="E45" s="14" t="inlineStr">
        <is>
          <t>Nawaf</t>
        </is>
      </c>
      <c r="F45" s="14" t="inlineStr">
        <is>
          <t>Grade 9B / 5 (Boys)</t>
        </is>
      </c>
      <c r="G45" s="15" t="n">
        <v>125</v>
      </c>
      <c r="H45" s="16" t="n">
        <v>1</v>
      </c>
      <c r="I45" s="17">
        <f>IF(AND(H45&lt;&gt;"", G45&lt;&gt;""), H45*G45, "")</f>
        <v/>
      </c>
      <c r="J45" s="14" t="inlineStr">
        <is>
          <t>Grade 9B (Boys) English, Math &amp; Science Tutoring</t>
        </is>
      </c>
      <c r="K45" s="14" t="inlineStr">
        <is>
          <t>Boys Session: 5:30 – 7:30 PM (1 hr Nawaf)</t>
        </is>
      </c>
    </row>
    <row r="46" ht="20" customHeight="1">
      <c r="A46" s="12" t="b">
        <v>1</v>
      </c>
      <c r="B46" s="18">
        <f>IF(C46&lt;&gt;"", ROW()-8, "")</f>
        <v/>
      </c>
      <c r="C46" s="23" t="inlineStr"/>
      <c r="D46" s="18">
        <f>IF(C46&lt;&gt;"", TEXT(C46, "dddd"), "")</f>
        <v/>
      </c>
      <c r="E46" s="24" t="inlineStr"/>
      <c r="F46" s="19">
        <f>IF(E46="Abdullah AlRubiyan", "Grade 9 American (MIS)", IF(E46="Shadan", "Grade 11A (Girls)", IF(E46="Talal", "Grade 9B / 7 (Boys)", IF(E46="Nawaf", "Grade 9B / 5 (Boys)", IF(E46="Elyana", "Grade 9A / 3 (Girls)", "")))))</f>
        <v/>
      </c>
      <c r="G46" s="20">
        <f>IF(E46="Abdullah AlRubiyan", 150, IF(E46&lt;&gt;"", 125, ""))</f>
        <v/>
      </c>
      <c r="H46" s="21" t="inlineStr"/>
      <c r="I46" s="22">
        <f>IF(AND(H46&lt;&gt;"", G46&lt;&gt;""), H46*G46, "")</f>
        <v/>
      </c>
      <c r="J46" s="24" t="inlineStr"/>
      <c r="K46" s="24" t="inlineStr"/>
    </row>
    <row r="47" ht="20" customHeight="1">
      <c r="A47" s="12" t="b">
        <v>1</v>
      </c>
      <c r="B47" s="13">
        <f>IF(C47&lt;&gt;"", ROW()-8, "")</f>
        <v/>
      </c>
      <c r="C47" s="25" t="inlineStr"/>
      <c r="D47" s="13">
        <f>IF(C47&lt;&gt;"", TEXT(C47, "dddd"), "")</f>
        <v/>
      </c>
      <c r="E47" s="26" t="inlineStr"/>
      <c r="F47" s="14">
        <f>IF(E47="Abdullah AlRubiyan", "Grade 9 American (MIS)", IF(E47="Shadan", "Grade 11A (Girls)", IF(E47="Talal", "Grade 9B / 7 (Boys)", IF(E47="Nawaf", "Grade 9B / 5 (Boys)", IF(E47="Elyana", "Grade 9A / 3 (Girls)", "")))))</f>
        <v/>
      </c>
      <c r="G47" s="15">
        <f>IF(E47="Abdullah AlRubiyan", 150, IF(E47&lt;&gt;"", 125, ""))</f>
        <v/>
      </c>
      <c r="H47" s="16" t="inlineStr"/>
      <c r="I47" s="17">
        <f>IF(AND(H47&lt;&gt;"", G47&lt;&gt;""), H47*G47, "")</f>
        <v/>
      </c>
      <c r="J47" s="26" t="inlineStr"/>
      <c r="K47" s="26" t="inlineStr"/>
    </row>
    <row r="48" ht="20" customHeight="1">
      <c r="A48" s="12" t="b">
        <v>1</v>
      </c>
      <c r="B48" s="18">
        <f>IF(C48&lt;&gt;"", ROW()-8, "")</f>
        <v/>
      </c>
      <c r="C48" s="23" t="inlineStr"/>
      <c r="D48" s="18">
        <f>IF(C48&lt;&gt;"", TEXT(C48, "dddd"), "")</f>
        <v/>
      </c>
      <c r="E48" s="24" t="inlineStr"/>
      <c r="F48" s="19">
        <f>IF(E48="Abdullah AlRubiyan", "Grade 9 American (MIS)", IF(E48="Shadan", "Grade 11A (Girls)", IF(E48="Talal", "Grade 9B / 7 (Boys)", IF(E48="Nawaf", "Grade 9B / 5 (Boys)", IF(E48="Elyana", "Grade 9A / 3 (Girls)", "")))))</f>
        <v/>
      </c>
      <c r="G48" s="20">
        <f>IF(E48="Abdullah AlRubiyan", 150, IF(E48&lt;&gt;"", 125, ""))</f>
        <v/>
      </c>
      <c r="H48" s="21" t="inlineStr"/>
      <c r="I48" s="22">
        <f>IF(AND(H48&lt;&gt;"", G48&lt;&gt;""), H48*G48, "")</f>
        <v/>
      </c>
      <c r="J48" s="24" t="inlineStr"/>
      <c r="K48" s="24" t="inlineStr"/>
    </row>
    <row r="49" ht="20" customHeight="1">
      <c r="A49" s="12" t="b">
        <v>1</v>
      </c>
      <c r="B49" s="13">
        <f>IF(C49&lt;&gt;"", ROW()-8, "")</f>
        <v/>
      </c>
      <c r="C49" s="25" t="inlineStr"/>
      <c r="D49" s="13">
        <f>IF(C49&lt;&gt;"", TEXT(C49, "dddd"), "")</f>
        <v/>
      </c>
      <c r="E49" s="26" t="inlineStr"/>
      <c r="F49" s="14">
        <f>IF(E49="Abdullah AlRubiyan", "Grade 9 American (MIS)", IF(E49="Shadan", "Grade 11A (Girls)", IF(E49="Talal", "Grade 9B / 7 (Boys)", IF(E49="Nawaf", "Grade 9B / 5 (Boys)", IF(E49="Elyana", "Grade 9A / 3 (Girls)", "")))))</f>
        <v/>
      </c>
      <c r="G49" s="15">
        <f>IF(E49="Abdullah AlRubiyan", 150, IF(E49&lt;&gt;"", 125, ""))</f>
        <v/>
      </c>
      <c r="H49" s="16" t="inlineStr"/>
      <c r="I49" s="17">
        <f>IF(AND(H49&lt;&gt;"", G49&lt;&gt;""), H49*G49, "")</f>
        <v/>
      </c>
      <c r="J49" s="26" t="inlineStr"/>
      <c r="K49" s="26" t="inlineStr"/>
    </row>
    <row r="50" ht="20" customHeight="1">
      <c r="A50" s="12" t="b">
        <v>1</v>
      </c>
      <c r="B50" s="18">
        <f>IF(C50&lt;&gt;"", ROW()-8, "")</f>
        <v/>
      </c>
      <c r="C50" s="23" t="inlineStr"/>
      <c r="D50" s="18">
        <f>IF(C50&lt;&gt;"", TEXT(C50, "dddd"), "")</f>
        <v/>
      </c>
      <c r="E50" s="24" t="inlineStr"/>
      <c r="F50" s="19">
        <f>IF(E50="Abdullah AlRubiyan", "Grade 9 American (MIS)", IF(E50="Shadan", "Grade 11A (Girls)", IF(E50="Talal", "Grade 9B / 7 (Boys)", IF(E50="Nawaf", "Grade 9B / 5 (Boys)", IF(E50="Elyana", "Grade 9A / 3 (Girls)", "")))))</f>
        <v/>
      </c>
      <c r="G50" s="20">
        <f>IF(E50="Abdullah AlRubiyan", 150, IF(E50&lt;&gt;"", 125, ""))</f>
        <v/>
      </c>
      <c r="H50" s="21" t="inlineStr"/>
      <c r="I50" s="22">
        <f>IF(AND(H50&lt;&gt;"", G50&lt;&gt;""), H50*G50, "")</f>
        <v/>
      </c>
      <c r="J50" s="24" t="inlineStr"/>
      <c r="K50" s="24" t="inlineStr"/>
    </row>
    <row r="51" ht="20" customHeight="1">
      <c r="A51" s="12" t="b">
        <v>1</v>
      </c>
      <c r="B51" s="13">
        <f>IF(C51&lt;&gt;"", ROW()-8, "")</f>
        <v/>
      </c>
      <c r="C51" s="25" t="inlineStr"/>
      <c r="D51" s="13">
        <f>IF(C51&lt;&gt;"", TEXT(C51, "dddd"), "")</f>
        <v/>
      </c>
      <c r="E51" s="26" t="inlineStr"/>
      <c r="F51" s="14">
        <f>IF(E51="Abdullah AlRubiyan", "Grade 9 American (MIS)", IF(E51="Shadan", "Grade 11A (Girls)", IF(E51="Talal", "Grade 9B / 7 (Boys)", IF(E51="Nawaf", "Grade 9B / 5 (Boys)", IF(E51="Elyana", "Grade 9A / 3 (Girls)", "")))))</f>
        <v/>
      </c>
      <c r="G51" s="15">
        <f>IF(E51="Abdullah AlRubiyan", 150, IF(E51&lt;&gt;"", 125, ""))</f>
        <v/>
      </c>
      <c r="H51" s="16" t="inlineStr"/>
      <c r="I51" s="17">
        <f>IF(AND(H51&lt;&gt;"", G51&lt;&gt;""), H51*G51, "")</f>
        <v/>
      </c>
      <c r="J51" s="26" t="inlineStr"/>
      <c r="K51" s="26" t="inlineStr"/>
    </row>
    <row r="52" ht="20" customHeight="1">
      <c r="A52" s="12" t="b">
        <v>1</v>
      </c>
      <c r="B52" s="18">
        <f>IF(C52&lt;&gt;"", ROW()-8, "")</f>
        <v/>
      </c>
      <c r="C52" s="23" t="inlineStr"/>
      <c r="D52" s="18">
        <f>IF(C52&lt;&gt;"", TEXT(C52, "dddd"), "")</f>
        <v/>
      </c>
      <c r="E52" s="24" t="inlineStr"/>
      <c r="F52" s="19">
        <f>IF(E52="Abdullah AlRubiyan", "Grade 9 American (MIS)", IF(E52="Shadan", "Grade 11A (Girls)", IF(E52="Talal", "Grade 9B / 7 (Boys)", IF(E52="Nawaf", "Grade 9B / 5 (Boys)", IF(E52="Elyana", "Grade 9A / 3 (Girls)", "")))))</f>
        <v/>
      </c>
      <c r="G52" s="20">
        <f>IF(E52="Abdullah AlRubiyan", 150, IF(E52&lt;&gt;"", 125, ""))</f>
        <v/>
      </c>
      <c r="H52" s="21" t="inlineStr"/>
      <c r="I52" s="22">
        <f>IF(AND(H52&lt;&gt;"", G52&lt;&gt;""), H52*G52, "")</f>
        <v/>
      </c>
      <c r="J52" s="24" t="inlineStr"/>
      <c r="K52" s="24" t="inlineStr"/>
    </row>
    <row r="53" ht="20" customHeight="1">
      <c r="A53" s="12" t="b">
        <v>1</v>
      </c>
      <c r="B53" s="13">
        <f>IF(C53&lt;&gt;"", ROW()-8, "")</f>
        <v/>
      </c>
      <c r="C53" s="25" t="inlineStr"/>
      <c r="D53" s="13">
        <f>IF(C53&lt;&gt;"", TEXT(C53, "dddd"), "")</f>
        <v/>
      </c>
      <c r="E53" s="26" t="inlineStr"/>
      <c r="F53" s="14">
        <f>IF(E53="Abdullah AlRubiyan", "Grade 9 American (MIS)", IF(E53="Shadan", "Grade 11A (Girls)", IF(E53="Talal", "Grade 9B / 7 (Boys)", IF(E53="Nawaf", "Grade 9B / 5 (Boys)", IF(E53="Elyana", "Grade 9A / 3 (Girls)", "")))))</f>
        <v/>
      </c>
      <c r="G53" s="15">
        <f>IF(E53="Abdullah AlRubiyan", 150, IF(E53&lt;&gt;"", 125, ""))</f>
        <v/>
      </c>
      <c r="H53" s="16" t="inlineStr"/>
      <c r="I53" s="17">
        <f>IF(AND(H53&lt;&gt;"", G53&lt;&gt;""), H53*G53, "")</f>
        <v/>
      </c>
      <c r="J53" s="26" t="inlineStr"/>
      <c r="K53" s="26" t="inlineStr"/>
    </row>
    <row r="54" ht="20" customHeight="1">
      <c r="A54" s="12" t="b">
        <v>1</v>
      </c>
      <c r="B54" s="18">
        <f>IF(C54&lt;&gt;"", ROW()-8, "")</f>
        <v/>
      </c>
      <c r="C54" s="23" t="inlineStr"/>
      <c r="D54" s="18">
        <f>IF(C54&lt;&gt;"", TEXT(C54, "dddd"), "")</f>
        <v/>
      </c>
      <c r="E54" s="24" t="inlineStr"/>
      <c r="F54" s="19">
        <f>IF(E54="Abdullah AlRubiyan", "Grade 9 American (MIS)", IF(E54="Shadan", "Grade 11A (Girls)", IF(E54="Talal", "Grade 9B / 7 (Boys)", IF(E54="Nawaf", "Grade 9B / 5 (Boys)", IF(E54="Elyana", "Grade 9A / 3 (Girls)", "")))))</f>
        <v/>
      </c>
      <c r="G54" s="20">
        <f>IF(E54="Abdullah AlRubiyan", 150, IF(E54&lt;&gt;"", 125, ""))</f>
        <v/>
      </c>
      <c r="H54" s="21" t="inlineStr"/>
      <c r="I54" s="22">
        <f>IF(AND(H54&lt;&gt;"", G54&lt;&gt;""), H54*G54, "")</f>
        <v/>
      </c>
      <c r="J54" s="24" t="inlineStr"/>
      <c r="K54" s="24" t="inlineStr"/>
    </row>
    <row r="55" ht="20" customHeight="1">
      <c r="A55" s="12" t="b">
        <v>1</v>
      </c>
      <c r="B55" s="13">
        <f>IF(C55&lt;&gt;"", ROW()-8, "")</f>
        <v/>
      </c>
      <c r="C55" s="25" t="inlineStr"/>
      <c r="D55" s="13">
        <f>IF(C55&lt;&gt;"", TEXT(C55, "dddd"), "")</f>
        <v/>
      </c>
      <c r="E55" s="26" t="inlineStr"/>
      <c r="F55" s="14">
        <f>IF(E55="Abdullah AlRubiyan", "Grade 9 American (MIS)", IF(E55="Shadan", "Grade 11A (Girls)", IF(E55="Talal", "Grade 9B / 7 (Boys)", IF(E55="Nawaf", "Grade 9B / 5 (Boys)", IF(E55="Elyana", "Grade 9A / 3 (Girls)", "")))))</f>
        <v/>
      </c>
      <c r="G55" s="15">
        <f>IF(E55="Abdullah AlRubiyan", 150, IF(E55&lt;&gt;"", 125, ""))</f>
        <v/>
      </c>
      <c r="H55" s="16" t="inlineStr"/>
      <c r="I55" s="17">
        <f>IF(AND(H55&lt;&gt;"", G55&lt;&gt;""), H55*G55, "")</f>
        <v/>
      </c>
      <c r="J55" s="26" t="inlineStr"/>
      <c r="K55" s="26" t="inlineStr"/>
    </row>
    <row r="56" ht="20" customHeight="1">
      <c r="A56" s="12" t="b">
        <v>1</v>
      </c>
      <c r="B56" s="18">
        <f>IF(C56&lt;&gt;"", ROW()-8, "")</f>
        <v/>
      </c>
      <c r="C56" s="23" t="inlineStr"/>
      <c r="D56" s="18">
        <f>IF(C56&lt;&gt;"", TEXT(C56, "dddd"), "")</f>
        <v/>
      </c>
      <c r="E56" s="24" t="inlineStr"/>
      <c r="F56" s="19">
        <f>IF(E56="Abdullah AlRubiyan", "Grade 9 American (MIS)", IF(E56="Shadan", "Grade 11A (Girls)", IF(E56="Talal", "Grade 9B / 7 (Boys)", IF(E56="Nawaf", "Grade 9B / 5 (Boys)", IF(E56="Elyana", "Grade 9A / 3 (Girls)", "")))))</f>
        <v/>
      </c>
      <c r="G56" s="20">
        <f>IF(E56="Abdullah AlRubiyan", 150, IF(E56&lt;&gt;"", 125, ""))</f>
        <v/>
      </c>
      <c r="H56" s="21" t="inlineStr"/>
      <c r="I56" s="22">
        <f>IF(AND(H56&lt;&gt;"", G56&lt;&gt;""), H56*G56, "")</f>
        <v/>
      </c>
      <c r="J56" s="24" t="inlineStr"/>
      <c r="K56" s="24" t="inlineStr"/>
    </row>
    <row r="57" ht="20" customHeight="1">
      <c r="A57" s="12" t="b">
        <v>1</v>
      </c>
      <c r="B57" s="13">
        <f>IF(C57&lt;&gt;"", ROW()-8, "")</f>
        <v/>
      </c>
      <c r="C57" s="25" t="inlineStr"/>
      <c r="D57" s="13">
        <f>IF(C57&lt;&gt;"", TEXT(C57, "dddd"), "")</f>
        <v/>
      </c>
      <c r="E57" s="26" t="inlineStr"/>
      <c r="F57" s="14">
        <f>IF(E57="Abdullah AlRubiyan", "Grade 9 American (MIS)", IF(E57="Shadan", "Grade 11A (Girls)", IF(E57="Talal", "Grade 9B / 7 (Boys)", IF(E57="Nawaf", "Grade 9B / 5 (Boys)", IF(E57="Elyana", "Grade 9A / 3 (Girls)", "")))))</f>
        <v/>
      </c>
      <c r="G57" s="15">
        <f>IF(E57="Abdullah AlRubiyan", 150, IF(E57&lt;&gt;"", 125, ""))</f>
        <v/>
      </c>
      <c r="H57" s="16" t="inlineStr"/>
      <c r="I57" s="17">
        <f>IF(AND(H57&lt;&gt;"", G57&lt;&gt;""), H57*G57, "")</f>
        <v/>
      </c>
      <c r="J57" s="26" t="inlineStr"/>
      <c r="K57" s="26" t="inlineStr"/>
    </row>
    <row r="58" ht="20" customHeight="1">
      <c r="A58" s="12" t="b">
        <v>1</v>
      </c>
      <c r="B58" s="18">
        <f>IF(C58&lt;&gt;"", ROW()-8, "")</f>
        <v/>
      </c>
      <c r="C58" s="23" t="inlineStr"/>
      <c r="D58" s="18">
        <f>IF(C58&lt;&gt;"", TEXT(C58, "dddd"), "")</f>
        <v/>
      </c>
      <c r="E58" s="24" t="inlineStr"/>
      <c r="F58" s="19">
        <f>IF(E58="Abdullah AlRubiyan", "Grade 9 American (MIS)", IF(E58="Shadan", "Grade 11A (Girls)", IF(E58="Talal", "Grade 9B / 7 (Boys)", IF(E58="Nawaf", "Grade 9B / 5 (Boys)", IF(E58="Elyana", "Grade 9A / 3 (Girls)", "")))))</f>
        <v/>
      </c>
      <c r="G58" s="20">
        <f>IF(E58="Abdullah AlRubiyan", 150, IF(E58&lt;&gt;"", 125, ""))</f>
        <v/>
      </c>
      <c r="H58" s="21" t="inlineStr"/>
      <c r="I58" s="22">
        <f>IF(AND(H58&lt;&gt;"", G58&lt;&gt;""), H58*G58, "")</f>
        <v/>
      </c>
      <c r="J58" s="24" t="inlineStr"/>
      <c r="K58" s="24" t="inlineStr"/>
    </row>
    <row r="59" ht="20" customHeight="1">
      <c r="A59" s="12" t="b">
        <v>1</v>
      </c>
      <c r="B59" s="13">
        <f>IF(C59&lt;&gt;"", ROW()-8, "")</f>
        <v/>
      </c>
      <c r="C59" s="25" t="inlineStr"/>
      <c r="D59" s="13">
        <f>IF(C59&lt;&gt;"", TEXT(C59, "dddd"), "")</f>
        <v/>
      </c>
      <c r="E59" s="26" t="inlineStr"/>
      <c r="F59" s="14">
        <f>IF(E59="Abdullah AlRubiyan", "Grade 9 American (MIS)", IF(E59="Shadan", "Grade 11A (Girls)", IF(E59="Talal", "Grade 9B / 7 (Boys)", IF(E59="Nawaf", "Grade 9B / 5 (Boys)", IF(E59="Elyana", "Grade 9A / 3 (Girls)", "")))))</f>
        <v/>
      </c>
      <c r="G59" s="15">
        <f>IF(E59="Abdullah AlRubiyan", 150, IF(E59&lt;&gt;"", 125, ""))</f>
        <v/>
      </c>
      <c r="H59" s="16" t="inlineStr"/>
      <c r="I59" s="17">
        <f>IF(AND(H59&lt;&gt;"", G59&lt;&gt;""), H59*G59, "")</f>
        <v/>
      </c>
      <c r="J59" s="26" t="inlineStr"/>
      <c r="K59" s="26" t="inlineStr"/>
    </row>
    <row r="60" ht="20" customHeight="1">
      <c r="A60" s="12" t="b">
        <v>1</v>
      </c>
      <c r="B60" s="18">
        <f>IF(C60&lt;&gt;"", ROW()-8, "")</f>
        <v/>
      </c>
      <c r="C60" s="23" t="inlineStr"/>
      <c r="D60" s="18">
        <f>IF(C60&lt;&gt;"", TEXT(C60, "dddd"), "")</f>
        <v/>
      </c>
      <c r="E60" s="24" t="inlineStr"/>
      <c r="F60" s="19">
        <f>IF(E60="Abdullah AlRubiyan", "Grade 9 American (MIS)", IF(E60="Shadan", "Grade 11A (Girls)", IF(E60="Talal", "Grade 9B / 7 (Boys)", IF(E60="Nawaf", "Grade 9B / 5 (Boys)", IF(E60="Elyana", "Grade 9A / 3 (Girls)", "")))))</f>
        <v/>
      </c>
      <c r="G60" s="20">
        <f>IF(E60="Abdullah AlRubiyan", 150, IF(E60&lt;&gt;"", 125, ""))</f>
        <v/>
      </c>
      <c r="H60" s="21" t="inlineStr"/>
      <c r="I60" s="22">
        <f>IF(AND(H60&lt;&gt;"", G60&lt;&gt;""), H60*G60, "")</f>
        <v/>
      </c>
      <c r="J60" s="24" t="inlineStr"/>
      <c r="K60" s="24" t="inlineStr"/>
    </row>
    <row r="61" ht="20" customHeight="1">
      <c r="A61" s="12" t="b">
        <v>1</v>
      </c>
      <c r="B61" s="13">
        <f>IF(C61&lt;&gt;"", ROW()-8, "")</f>
        <v/>
      </c>
      <c r="C61" s="25" t="inlineStr"/>
      <c r="D61" s="13">
        <f>IF(C61&lt;&gt;"", TEXT(C61, "dddd"), "")</f>
        <v/>
      </c>
      <c r="E61" s="26" t="inlineStr"/>
      <c r="F61" s="14">
        <f>IF(E61="Abdullah AlRubiyan", "Grade 9 American (MIS)", IF(E61="Shadan", "Grade 11A (Girls)", IF(E61="Talal", "Grade 9B / 7 (Boys)", IF(E61="Nawaf", "Grade 9B / 5 (Boys)", IF(E61="Elyana", "Grade 9A / 3 (Girls)", "")))))</f>
        <v/>
      </c>
      <c r="G61" s="15">
        <f>IF(E61="Abdullah AlRubiyan", 150, IF(E61&lt;&gt;"", 125, ""))</f>
        <v/>
      </c>
      <c r="H61" s="16" t="inlineStr"/>
      <c r="I61" s="17">
        <f>IF(AND(H61&lt;&gt;"", G61&lt;&gt;""), H61*G61, "")</f>
        <v/>
      </c>
      <c r="J61" s="26" t="inlineStr"/>
      <c r="K61" s="26" t="inlineStr"/>
    </row>
    <row r="62" ht="20" customHeight="1">
      <c r="A62" s="12" t="b">
        <v>1</v>
      </c>
      <c r="B62" s="18">
        <f>IF(C62&lt;&gt;"", ROW()-8, "")</f>
        <v/>
      </c>
      <c r="C62" s="23" t="inlineStr"/>
      <c r="D62" s="18">
        <f>IF(C62&lt;&gt;"", TEXT(C62, "dddd"), "")</f>
        <v/>
      </c>
      <c r="E62" s="24" t="inlineStr"/>
      <c r="F62" s="19">
        <f>IF(E62="Abdullah AlRubiyan", "Grade 9 American (MIS)", IF(E62="Shadan", "Grade 11A (Girls)", IF(E62="Talal", "Grade 9B / 7 (Boys)", IF(E62="Nawaf", "Grade 9B / 5 (Boys)", IF(E62="Elyana", "Grade 9A / 3 (Girls)", "")))))</f>
        <v/>
      </c>
      <c r="G62" s="20">
        <f>IF(E62="Abdullah AlRubiyan", 150, IF(E62&lt;&gt;"", 125, ""))</f>
        <v/>
      </c>
      <c r="H62" s="21" t="inlineStr"/>
      <c r="I62" s="22">
        <f>IF(AND(H62&lt;&gt;"", G62&lt;&gt;""), H62*G62, "")</f>
        <v/>
      </c>
      <c r="J62" s="24" t="inlineStr"/>
      <c r="K62" s="24" t="inlineStr"/>
    </row>
    <row r="63" ht="20" customHeight="1">
      <c r="A63" s="12" t="b">
        <v>1</v>
      </c>
      <c r="B63" s="13">
        <f>IF(C63&lt;&gt;"", ROW()-8, "")</f>
        <v/>
      </c>
      <c r="C63" s="25" t="inlineStr"/>
      <c r="D63" s="13">
        <f>IF(C63&lt;&gt;"", TEXT(C63, "dddd"), "")</f>
        <v/>
      </c>
      <c r="E63" s="26" t="inlineStr"/>
      <c r="F63" s="14">
        <f>IF(E63="Abdullah AlRubiyan", "Grade 9 American (MIS)", IF(E63="Shadan", "Grade 11A (Girls)", IF(E63="Talal", "Grade 9B / 7 (Boys)", IF(E63="Nawaf", "Grade 9B / 5 (Boys)", IF(E63="Elyana", "Grade 9A / 3 (Girls)", "")))))</f>
        <v/>
      </c>
      <c r="G63" s="15">
        <f>IF(E63="Abdullah AlRubiyan", 150, IF(E63&lt;&gt;"", 125, ""))</f>
        <v/>
      </c>
      <c r="H63" s="16" t="inlineStr"/>
      <c r="I63" s="17">
        <f>IF(AND(H63&lt;&gt;"", G63&lt;&gt;""), H63*G63, "")</f>
        <v/>
      </c>
      <c r="J63" s="26" t="inlineStr"/>
      <c r="K63" s="26" t="inlineStr"/>
    </row>
    <row r="64" ht="20" customHeight="1">
      <c r="A64" s="12" t="b">
        <v>1</v>
      </c>
      <c r="B64" s="18">
        <f>IF(C64&lt;&gt;"", ROW()-8, "")</f>
        <v/>
      </c>
      <c r="C64" s="23" t="inlineStr"/>
      <c r="D64" s="18">
        <f>IF(C64&lt;&gt;"", TEXT(C64, "dddd"), "")</f>
        <v/>
      </c>
      <c r="E64" s="24" t="inlineStr"/>
      <c r="F64" s="19">
        <f>IF(E64="Abdullah AlRubiyan", "Grade 9 American (MIS)", IF(E64="Shadan", "Grade 11A (Girls)", IF(E64="Talal", "Grade 9B / 7 (Boys)", IF(E64="Nawaf", "Grade 9B / 5 (Boys)", IF(E64="Elyana", "Grade 9A / 3 (Girls)", "")))))</f>
        <v/>
      </c>
      <c r="G64" s="20">
        <f>IF(E64="Abdullah AlRubiyan", 150, IF(E64&lt;&gt;"", 125, ""))</f>
        <v/>
      </c>
      <c r="H64" s="21" t="inlineStr"/>
      <c r="I64" s="22">
        <f>IF(AND(H64&lt;&gt;"", G64&lt;&gt;""), H64*G64, "")</f>
        <v/>
      </c>
      <c r="J64" s="24" t="inlineStr"/>
      <c r="K64" s="24" t="inlineStr"/>
    </row>
    <row r="65" ht="20" customHeight="1">
      <c r="A65" s="12" t="b">
        <v>1</v>
      </c>
      <c r="B65" s="13">
        <f>IF(C65&lt;&gt;"", ROW()-8, "")</f>
        <v/>
      </c>
      <c r="C65" s="25" t="inlineStr"/>
      <c r="D65" s="13">
        <f>IF(C65&lt;&gt;"", TEXT(C65, "dddd"), "")</f>
        <v/>
      </c>
      <c r="E65" s="26" t="inlineStr"/>
      <c r="F65" s="14">
        <f>IF(E65="Abdullah AlRubiyan", "Grade 9 American (MIS)", IF(E65="Shadan", "Grade 11A (Girls)", IF(E65="Talal", "Grade 9B / 7 (Boys)", IF(E65="Nawaf", "Grade 9B / 5 (Boys)", IF(E65="Elyana", "Grade 9A / 3 (Girls)", "")))))</f>
        <v/>
      </c>
      <c r="G65" s="15">
        <f>IF(E65="Abdullah AlRubiyan", 150, IF(E65&lt;&gt;"", 125, ""))</f>
        <v/>
      </c>
      <c r="H65" s="16" t="inlineStr"/>
      <c r="I65" s="17">
        <f>IF(AND(H65&lt;&gt;"", G65&lt;&gt;""), H65*G65, "")</f>
        <v/>
      </c>
      <c r="J65" s="26" t="inlineStr"/>
      <c r="K65" s="26" t="inlineStr"/>
    </row>
    <row r="66" ht="20" customHeight="1">
      <c r="A66" s="12" t="b">
        <v>1</v>
      </c>
      <c r="B66" s="18">
        <f>IF(C66&lt;&gt;"", ROW()-8, "")</f>
        <v/>
      </c>
      <c r="C66" s="23" t="inlineStr"/>
      <c r="D66" s="18">
        <f>IF(C66&lt;&gt;"", TEXT(C66, "dddd"), "")</f>
        <v/>
      </c>
      <c r="E66" s="24" t="inlineStr"/>
      <c r="F66" s="19">
        <f>IF(E66="Abdullah AlRubiyan", "Grade 9 American (MIS)", IF(E66="Shadan", "Grade 11A (Girls)", IF(E66="Talal", "Grade 9B / 7 (Boys)", IF(E66="Nawaf", "Grade 9B / 5 (Boys)", IF(E66="Elyana", "Grade 9A / 3 (Girls)", "")))))</f>
        <v/>
      </c>
      <c r="G66" s="20">
        <f>IF(E66="Abdullah AlRubiyan", 150, IF(E66&lt;&gt;"", 125, ""))</f>
        <v/>
      </c>
      <c r="H66" s="21" t="inlineStr"/>
      <c r="I66" s="22">
        <f>IF(AND(H66&lt;&gt;"", G66&lt;&gt;""), H66*G66, "")</f>
        <v/>
      </c>
      <c r="J66" s="24" t="inlineStr"/>
      <c r="K66" s="24" t="inlineStr"/>
    </row>
    <row r="67" ht="20" customHeight="1">
      <c r="A67" s="12" t="b">
        <v>1</v>
      </c>
      <c r="B67" s="13">
        <f>IF(C67&lt;&gt;"", ROW()-8, "")</f>
        <v/>
      </c>
      <c r="C67" s="25" t="inlineStr"/>
      <c r="D67" s="13">
        <f>IF(C67&lt;&gt;"", TEXT(C67, "dddd"), "")</f>
        <v/>
      </c>
      <c r="E67" s="26" t="inlineStr"/>
      <c r="F67" s="14">
        <f>IF(E67="Abdullah AlRubiyan", "Grade 9 American (MIS)", IF(E67="Shadan", "Grade 11A (Girls)", IF(E67="Talal", "Grade 9B / 7 (Boys)", IF(E67="Nawaf", "Grade 9B / 5 (Boys)", IF(E67="Elyana", "Grade 9A / 3 (Girls)", "")))))</f>
        <v/>
      </c>
      <c r="G67" s="15">
        <f>IF(E67="Abdullah AlRubiyan", 150, IF(E67&lt;&gt;"", 125, ""))</f>
        <v/>
      </c>
      <c r="H67" s="16" t="inlineStr"/>
      <c r="I67" s="17">
        <f>IF(AND(H67&lt;&gt;"", G67&lt;&gt;""), H67*G67, "")</f>
        <v/>
      </c>
      <c r="J67" s="26" t="inlineStr"/>
      <c r="K67" s="26" t="inlineStr"/>
    </row>
    <row r="68" ht="20" customHeight="1">
      <c r="A68" s="12" t="b">
        <v>1</v>
      </c>
      <c r="B68" s="18">
        <f>IF(C68&lt;&gt;"", ROW()-8, "")</f>
        <v/>
      </c>
      <c r="C68" s="23" t="inlineStr"/>
      <c r="D68" s="18">
        <f>IF(C68&lt;&gt;"", TEXT(C68, "dddd"), "")</f>
        <v/>
      </c>
      <c r="E68" s="24" t="inlineStr"/>
      <c r="F68" s="19">
        <f>IF(E68="Abdullah AlRubiyan", "Grade 9 American (MIS)", IF(E68="Shadan", "Grade 11A (Girls)", IF(E68="Talal", "Grade 9B / 7 (Boys)", IF(E68="Nawaf", "Grade 9B / 5 (Boys)", IF(E68="Elyana", "Grade 9A / 3 (Girls)", "")))))</f>
        <v/>
      </c>
      <c r="G68" s="20">
        <f>IF(E68="Abdullah AlRubiyan", 150, IF(E68&lt;&gt;"", 125, ""))</f>
        <v/>
      </c>
      <c r="H68" s="21" t="inlineStr"/>
      <c r="I68" s="22">
        <f>IF(AND(H68&lt;&gt;"", G68&lt;&gt;""), H68*G68, "")</f>
        <v/>
      </c>
      <c r="J68" s="24" t="inlineStr"/>
      <c r="K68" s="24" t="inlineStr"/>
    </row>
    <row r="69" ht="20" customHeight="1">
      <c r="A69" s="12" t="b">
        <v>1</v>
      </c>
      <c r="B69" s="13">
        <f>IF(C69&lt;&gt;"", ROW()-8, "")</f>
        <v/>
      </c>
      <c r="C69" s="25" t="inlineStr"/>
      <c r="D69" s="13">
        <f>IF(C69&lt;&gt;"", TEXT(C69, "dddd"), "")</f>
        <v/>
      </c>
      <c r="E69" s="26" t="inlineStr"/>
      <c r="F69" s="14">
        <f>IF(E69="Abdullah AlRubiyan", "Grade 9 American (MIS)", IF(E69="Shadan", "Grade 11A (Girls)", IF(E69="Talal", "Grade 9B / 7 (Boys)", IF(E69="Nawaf", "Grade 9B / 5 (Boys)", IF(E69="Elyana", "Grade 9A / 3 (Girls)", "")))))</f>
        <v/>
      </c>
      <c r="G69" s="15">
        <f>IF(E69="Abdullah AlRubiyan", 150, IF(E69&lt;&gt;"", 125, ""))</f>
        <v/>
      </c>
      <c r="H69" s="16" t="inlineStr"/>
      <c r="I69" s="17">
        <f>IF(AND(H69&lt;&gt;"", G69&lt;&gt;""), H69*G69, "")</f>
        <v/>
      </c>
      <c r="J69" s="26" t="inlineStr"/>
      <c r="K69" s="26" t="inlineStr"/>
    </row>
    <row r="70" ht="20" customHeight="1">
      <c r="A70" s="12" t="b">
        <v>1</v>
      </c>
      <c r="B70" s="18">
        <f>IF(C70&lt;&gt;"", ROW()-8, "")</f>
        <v/>
      </c>
      <c r="C70" s="23" t="inlineStr"/>
      <c r="D70" s="18">
        <f>IF(C70&lt;&gt;"", TEXT(C70, "dddd"), "")</f>
        <v/>
      </c>
      <c r="E70" s="24" t="inlineStr"/>
      <c r="F70" s="19">
        <f>IF(E70="Abdullah AlRubiyan", "Grade 9 American (MIS)", IF(E70="Shadan", "Grade 11A (Girls)", IF(E70="Talal", "Grade 9B / 7 (Boys)", IF(E70="Nawaf", "Grade 9B / 5 (Boys)", IF(E70="Elyana", "Grade 9A / 3 (Girls)", "")))))</f>
        <v/>
      </c>
      <c r="G70" s="20">
        <f>IF(E70="Abdullah AlRubiyan", 150, IF(E70&lt;&gt;"", 125, ""))</f>
        <v/>
      </c>
      <c r="H70" s="21" t="inlineStr"/>
      <c r="I70" s="22">
        <f>IF(AND(H70&lt;&gt;"", G70&lt;&gt;""), H70*G70, "")</f>
        <v/>
      </c>
      <c r="J70" s="24" t="inlineStr"/>
      <c r="K70" s="24" t="inlineStr"/>
    </row>
    <row r="71" ht="20" customHeight="1">
      <c r="A71" s="12" t="b">
        <v>1</v>
      </c>
      <c r="B71" s="13">
        <f>IF(C71&lt;&gt;"", ROW()-8, "")</f>
        <v/>
      </c>
      <c r="C71" s="25" t="inlineStr"/>
      <c r="D71" s="13">
        <f>IF(C71&lt;&gt;"", TEXT(C71, "dddd"), "")</f>
        <v/>
      </c>
      <c r="E71" s="26" t="inlineStr"/>
      <c r="F71" s="14">
        <f>IF(E71="Abdullah AlRubiyan", "Grade 9 American (MIS)", IF(E71="Shadan", "Grade 11A (Girls)", IF(E71="Talal", "Grade 9B / 7 (Boys)", IF(E71="Nawaf", "Grade 9B / 5 (Boys)", IF(E71="Elyana", "Grade 9A / 3 (Girls)", "")))))</f>
        <v/>
      </c>
      <c r="G71" s="15">
        <f>IF(E71="Abdullah AlRubiyan", 150, IF(E71&lt;&gt;"", 125, ""))</f>
        <v/>
      </c>
      <c r="H71" s="16" t="inlineStr"/>
      <c r="I71" s="17">
        <f>IF(AND(H71&lt;&gt;"", G71&lt;&gt;""), H71*G71, "")</f>
        <v/>
      </c>
      <c r="J71" s="26" t="inlineStr"/>
      <c r="K71" s="26" t="inlineStr"/>
    </row>
    <row r="72" ht="20" customHeight="1">
      <c r="A72" s="12" t="b">
        <v>1</v>
      </c>
      <c r="B72" s="18">
        <f>IF(C72&lt;&gt;"", ROW()-8, "")</f>
        <v/>
      </c>
      <c r="C72" s="23" t="inlineStr"/>
      <c r="D72" s="18">
        <f>IF(C72&lt;&gt;"", TEXT(C72, "dddd"), "")</f>
        <v/>
      </c>
      <c r="E72" s="24" t="inlineStr"/>
      <c r="F72" s="19">
        <f>IF(E72="Abdullah AlRubiyan", "Grade 9 American (MIS)", IF(E72="Shadan", "Grade 11A (Girls)", IF(E72="Talal", "Grade 9B / 7 (Boys)", IF(E72="Nawaf", "Grade 9B / 5 (Boys)", IF(E72="Elyana", "Grade 9A / 3 (Girls)", "")))))</f>
        <v/>
      </c>
      <c r="G72" s="20">
        <f>IF(E72="Abdullah AlRubiyan", 150, IF(E72&lt;&gt;"", 125, ""))</f>
        <v/>
      </c>
      <c r="H72" s="21" t="inlineStr"/>
      <c r="I72" s="22">
        <f>IF(AND(H72&lt;&gt;"", G72&lt;&gt;""), H72*G72, "")</f>
        <v/>
      </c>
      <c r="J72" s="24" t="inlineStr"/>
      <c r="K72" s="24" t="inlineStr"/>
    </row>
    <row r="73" ht="20" customHeight="1">
      <c r="A73" s="12" t="b">
        <v>1</v>
      </c>
      <c r="B73" s="13">
        <f>IF(C73&lt;&gt;"", ROW()-8, "")</f>
        <v/>
      </c>
      <c r="C73" s="25" t="inlineStr"/>
      <c r="D73" s="13">
        <f>IF(C73&lt;&gt;"", TEXT(C73, "dddd"), "")</f>
        <v/>
      </c>
      <c r="E73" s="26" t="inlineStr"/>
      <c r="F73" s="14">
        <f>IF(E73="Abdullah AlRubiyan", "Grade 9 American (MIS)", IF(E73="Shadan", "Grade 11A (Girls)", IF(E73="Talal", "Grade 9B / 7 (Boys)", IF(E73="Nawaf", "Grade 9B / 5 (Boys)", IF(E73="Elyana", "Grade 9A / 3 (Girls)", "")))))</f>
        <v/>
      </c>
      <c r="G73" s="15">
        <f>IF(E73="Abdullah AlRubiyan", 150, IF(E73&lt;&gt;"", 125, ""))</f>
        <v/>
      </c>
      <c r="H73" s="16" t="inlineStr"/>
      <c r="I73" s="17">
        <f>IF(AND(H73&lt;&gt;"", G73&lt;&gt;""), H73*G73, "")</f>
        <v/>
      </c>
      <c r="J73" s="26" t="inlineStr"/>
      <c r="K73" s="26" t="inlineStr"/>
    </row>
    <row r="74" ht="20" customHeight="1">
      <c r="A74" s="12" t="b">
        <v>1</v>
      </c>
      <c r="B74" s="18">
        <f>IF(C74&lt;&gt;"", ROW()-8, "")</f>
        <v/>
      </c>
      <c r="C74" s="23" t="inlineStr"/>
      <c r="D74" s="18">
        <f>IF(C74&lt;&gt;"", TEXT(C74, "dddd"), "")</f>
        <v/>
      </c>
      <c r="E74" s="24" t="inlineStr"/>
      <c r="F74" s="19">
        <f>IF(E74="Abdullah AlRubiyan", "Grade 9 American (MIS)", IF(E74="Shadan", "Grade 11A (Girls)", IF(E74="Talal", "Grade 9B / 7 (Boys)", IF(E74="Nawaf", "Grade 9B / 5 (Boys)", IF(E74="Elyana", "Grade 9A / 3 (Girls)", "")))))</f>
        <v/>
      </c>
      <c r="G74" s="20">
        <f>IF(E74="Abdullah AlRubiyan", 150, IF(E74&lt;&gt;"", 125, ""))</f>
        <v/>
      </c>
      <c r="H74" s="21" t="inlineStr"/>
      <c r="I74" s="22">
        <f>IF(AND(H74&lt;&gt;"", G74&lt;&gt;""), H74*G74, "")</f>
        <v/>
      </c>
      <c r="J74" s="24" t="inlineStr"/>
      <c r="K74" s="24" t="inlineStr"/>
    </row>
    <row r="75" ht="20" customHeight="1">
      <c r="A75" s="12" t="b">
        <v>1</v>
      </c>
      <c r="B75" s="13">
        <f>IF(C75&lt;&gt;"", ROW()-8, "")</f>
        <v/>
      </c>
      <c r="C75" s="25" t="inlineStr"/>
      <c r="D75" s="13">
        <f>IF(C75&lt;&gt;"", TEXT(C75, "dddd"), "")</f>
        <v/>
      </c>
      <c r="E75" s="26" t="inlineStr"/>
      <c r="F75" s="14">
        <f>IF(E75="Abdullah AlRubiyan", "Grade 9 American (MIS)", IF(E75="Shadan", "Grade 11A (Girls)", IF(E75="Talal", "Grade 9B / 7 (Boys)", IF(E75="Nawaf", "Grade 9B / 5 (Boys)", IF(E75="Elyana", "Grade 9A / 3 (Girls)", "")))))</f>
        <v/>
      </c>
      <c r="G75" s="15">
        <f>IF(E75="Abdullah AlRubiyan", 150, IF(E75&lt;&gt;"", 125, ""))</f>
        <v/>
      </c>
      <c r="H75" s="16" t="inlineStr"/>
      <c r="I75" s="17">
        <f>IF(AND(H75&lt;&gt;"", G75&lt;&gt;""), H75*G75, "")</f>
        <v/>
      </c>
      <c r="J75" s="26" t="inlineStr"/>
      <c r="K75" s="26" t="inlineStr"/>
    </row>
    <row r="76" ht="20" customHeight="1">
      <c r="A76" s="12" t="b">
        <v>1</v>
      </c>
      <c r="B76" s="18">
        <f>IF(C76&lt;&gt;"", ROW()-8, "")</f>
        <v/>
      </c>
      <c r="C76" s="23" t="inlineStr"/>
      <c r="D76" s="18">
        <f>IF(C76&lt;&gt;"", TEXT(C76, "dddd"), "")</f>
        <v/>
      </c>
      <c r="E76" s="24" t="inlineStr"/>
      <c r="F76" s="19">
        <f>IF(E76="Abdullah AlRubiyan", "Grade 9 American (MIS)", IF(E76="Shadan", "Grade 11A (Girls)", IF(E76="Talal", "Grade 9B / 7 (Boys)", IF(E76="Nawaf", "Grade 9B / 5 (Boys)", IF(E76="Elyana", "Grade 9A / 3 (Girls)", "")))))</f>
        <v/>
      </c>
      <c r="G76" s="20">
        <f>IF(E76="Abdullah AlRubiyan", 150, IF(E76&lt;&gt;"", 125, ""))</f>
        <v/>
      </c>
      <c r="H76" s="21" t="inlineStr"/>
      <c r="I76" s="22">
        <f>IF(AND(H76&lt;&gt;"", G76&lt;&gt;""), H76*G76, "")</f>
        <v/>
      </c>
      <c r="J76" s="24" t="inlineStr"/>
      <c r="K76" s="24" t="inlineStr"/>
    </row>
    <row r="77" ht="20" customHeight="1">
      <c r="A77" s="12" t="b">
        <v>1</v>
      </c>
      <c r="B77" s="13">
        <f>IF(C77&lt;&gt;"", ROW()-8, "")</f>
        <v/>
      </c>
      <c r="C77" s="25" t="inlineStr"/>
      <c r="D77" s="13">
        <f>IF(C77&lt;&gt;"", TEXT(C77, "dddd"), "")</f>
        <v/>
      </c>
      <c r="E77" s="26" t="inlineStr"/>
      <c r="F77" s="14">
        <f>IF(E77="Abdullah AlRubiyan", "Grade 9 American (MIS)", IF(E77="Shadan", "Grade 11A (Girls)", IF(E77="Talal", "Grade 9B / 7 (Boys)", IF(E77="Nawaf", "Grade 9B / 5 (Boys)", IF(E77="Elyana", "Grade 9A / 3 (Girls)", "")))))</f>
        <v/>
      </c>
      <c r="G77" s="15">
        <f>IF(E77="Abdullah AlRubiyan", 150, IF(E77&lt;&gt;"", 125, ""))</f>
        <v/>
      </c>
      <c r="H77" s="16" t="inlineStr"/>
      <c r="I77" s="17">
        <f>IF(AND(H77&lt;&gt;"", G77&lt;&gt;""), H77*G77, "")</f>
        <v/>
      </c>
      <c r="J77" s="26" t="inlineStr"/>
      <c r="K77" s="26" t="inlineStr"/>
    </row>
    <row r="78" ht="20" customHeight="1">
      <c r="A78" s="12" t="b">
        <v>1</v>
      </c>
      <c r="B78" s="18">
        <f>IF(C78&lt;&gt;"", ROW()-8, "")</f>
        <v/>
      </c>
      <c r="C78" s="23" t="inlineStr"/>
      <c r="D78" s="18">
        <f>IF(C78&lt;&gt;"", TEXT(C78, "dddd"), "")</f>
        <v/>
      </c>
      <c r="E78" s="24" t="inlineStr"/>
      <c r="F78" s="19">
        <f>IF(E78="Abdullah AlRubiyan", "Grade 9 American (MIS)", IF(E78="Shadan", "Grade 11A (Girls)", IF(E78="Talal", "Grade 9B / 7 (Boys)", IF(E78="Nawaf", "Grade 9B / 5 (Boys)", IF(E78="Elyana", "Grade 9A / 3 (Girls)", "")))))</f>
        <v/>
      </c>
      <c r="G78" s="20">
        <f>IF(E78="Abdullah AlRubiyan", 150, IF(E78&lt;&gt;"", 125, ""))</f>
        <v/>
      </c>
      <c r="H78" s="21" t="inlineStr"/>
      <c r="I78" s="22">
        <f>IF(AND(H78&lt;&gt;"", G78&lt;&gt;""), H78*G78, "")</f>
        <v/>
      </c>
      <c r="J78" s="24" t="inlineStr"/>
      <c r="K78" s="24" t="inlineStr"/>
    </row>
    <row r="79" ht="20" customHeight="1">
      <c r="A79" s="12" t="b">
        <v>1</v>
      </c>
      <c r="B79" s="13">
        <f>IF(C79&lt;&gt;"", ROW()-8, "")</f>
        <v/>
      </c>
      <c r="C79" s="25" t="inlineStr"/>
      <c r="D79" s="13">
        <f>IF(C79&lt;&gt;"", TEXT(C79, "dddd"), "")</f>
        <v/>
      </c>
      <c r="E79" s="26" t="inlineStr"/>
      <c r="F79" s="14">
        <f>IF(E79="Abdullah AlRubiyan", "Grade 9 American (MIS)", IF(E79="Shadan", "Grade 11A (Girls)", IF(E79="Talal", "Grade 9B / 7 (Boys)", IF(E79="Nawaf", "Grade 9B / 5 (Boys)", IF(E79="Elyana", "Grade 9A / 3 (Girls)", "")))))</f>
        <v/>
      </c>
      <c r="G79" s="15">
        <f>IF(E79="Abdullah AlRubiyan", 150, IF(E79&lt;&gt;"", 125, ""))</f>
        <v/>
      </c>
      <c r="H79" s="16" t="inlineStr"/>
      <c r="I79" s="17">
        <f>IF(AND(H79&lt;&gt;"", G79&lt;&gt;""), H79*G79, "")</f>
        <v/>
      </c>
      <c r="J79" s="26" t="inlineStr"/>
      <c r="K79" s="26" t="inlineStr"/>
    </row>
    <row r="80" ht="20" customHeight="1">
      <c r="A80" s="12" t="b">
        <v>1</v>
      </c>
      <c r="B80" s="18">
        <f>IF(C80&lt;&gt;"", ROW()-8, "")</f>
        <v/>
      </c>
      <c r="C80" s="23" t="inlineStr"/>
      <c r="D80" s="18">
        <f>IF(C80&lt;&gt;"", TEXT(C80, "dddd"), "")</f>
        <v/>
      </c>
      <c r="E80" s="24" t="inlineStr"/>
      <c r="F80" s="19">
        <f>IF(E80="Abdullah AlRubiyan", "Grade 9 American (MIS)", IF(E80="Shadan", "Grade 11A (Girls)", IF(E80="Talal", "Grade 9B / 7 (Boys)", IF(E80="Nawaf", "Grade 9B / 5 (Boys)", IF(E80="Elyana", "Grade 9A / 3 (Girls)", "")))))</f>
        <v/>
      </c>
      <c r="G80" s="20">
        <f>IF(E80="Abdullah AlRubiyan", 150, IF(E80&lt;&gt;"", 125, ""))</f>
        <v/>
      </c>
      <c r="H80" s="21" t="inlineStr"/>
      <c r="I80" s="22">
        <f>IF(AND(H80&lt;&gt;"", G80&lt;&gt;""), H80*G80, "")</f>
        <v/>
      </c>
      <c r="J80" s="24" t="inlineStr"/>
      <c r="K80" s="24" t="inlineStr"/>
    </row>
    <row r="81" ht="20" customHeight="1">
      <c r="A81" s="12" t="b">
        <v>1</v>
      </c>
      <c r="B81" s="13">
        <f>IF(C81&lt;&gt;"", ROW()-8, "")</f>
        <v/>
      </c>
      <c r="C81" s="25" t="inlineStr"/>
      <c r="D81" s="13">
        <f>IF(C81&lt;&gt;"", TEXT(C81, "dddd"), "")</f>
        <v/>
      </c>
      <c r="E81" s="26" t="inlineStr"/>
      <c r="F81" s="14">
        <f>IF(E81="Abdullah AlRubiyan", "Grade 9 American (MIS)", IF(E81="Shadan", "Grade 11A (Girls)", IF(E81="Talal", "Grade 9B / 7 (Boys)", IF(E81="Nawaf", "Grade 9B / 5 (Boys)", IF(E81="Elyana", "Grade 9A / 3 (Girls)", "")))))</f>
        <v/>
      </c>
      <c r="G81" s="15">
        <f>IF(E81="Abdullah AlRubiyan", 150, IF(E81&lt;&gt;"", 125, ""))</f>
        <v/>
      </c>
      <c r="H81" s="16" t="inlineStr"/>
      <c r="I81" s="17">
        <f>IF(AND(H81&lt;&gt;"", G81&lt;&gt;""), H81*G81, "")</f>
        <v/>
      </c>
      <c r="J81" s="26" t="inlineStr"/>
      <c r="K81" s="26" t="inlineStr"/>
    </row>
    <row r="82" ht="20" customHeight="1">
      <c r="A82" s="12" t="b">
        <v>1</v>
      </c>
      <c r="B82" s="18">
        <f>IF(C82&lt;&gt;"", ROW()-8, "")</f>
        <v/>
      </c>
      <c r="C82" s="23" t="inlineStr"/>
      <c r="D82" s="18">
        <f>IF(C82&lt;&gt;"", TEXT(C82, "dddd"), "")</f>
        <v/>
      </c>
      <c r="E82" s="24" t="inlineStr"/>
      <c r="F82" s="19">
        <f>IF(E82="Abdullah AlRubiyan", "Grade 9 American (MIS)", IF(E82="Shadan", "Grade 11A (Girls)", IF(E82="Talal", "Grade 9B / 7 (Boys)", IF(E82="Nawaf", "Grade 9B / 5 (Boys)", IF(E82="Elyana", "Grade 9A / 3 (Girls)", "")))))</f>
        <v/>
      </c>
      <c r="G82" s="20">
        <f>IF(E82="Abdullah AlRubiyan", 150, IF(E82&lt;&gt;"", 125, ""))</f>
        <v/>
      </c>
      <c r="H82" s="21" t="inlineStr"/>
      <c r="I82" s="22">
        <f>IF(AND(H82&lt;&gt;"", G82&lt;&gt;""), H82*G82, "")</f>
        <v/>
      </c>
      <c r="J82" s="24" t="inlineStr"/>
      <c r="K82" s="24" t="inlineStr"/>
    </row>
    <row r="83" ht="20" customHeight="1">
      <c r="A83" s="12" t="b">
        <v>1</v>
      </c>
      <c r="B83" s="13">
        <f>IF(C83&lt;&gt;"", ROW()-8, "")</f>
        <v/>
      </c>
      <c r="C83" s="25" t="inlineStr"/>
      <c r="D83" s="13">
        <f>IF(C83&lt;&gt;"", TEXT(C83, "dddd"), "")</f>
        <v/>
      </c>
      <c r="E83" s="26" t="inlineStr"/>
      <c r="F83" s="14">
        <f>IF(E83="Abdullah AlRubiyan", "Grade 9 American (MIS)", IF(E83="Shadan", "Grade 11A (Girls)", IF(E83="Talal", "Grade 9B / 7 (Boys)", IF(E83="Nawaf", "Grade 9B / 5 (Boys)", IF(E83="Elyana", "Grade 9A / 3 (Girls)", "")))))</f>
        <v/>
      </c>
      <c r="G83" s="15">
        <f>IF(E83="Abdullah AlRubiyan", 150, IF(E83&lt;&gt;"", 125, ""))</f>
        <v/>
      </c>
      <c r="H83" s="16" t="inlineStr"/>
      <c r="I83" s="17">
        <f>IF(AND(H83&lt;&gt;"", G83&lt;&gt;""), H83*G83, "")</f>
        <v/>
      </c>
      <c r="J83" s="26" t="inlineStr"/>
      <c r="K83" s="26" t="inlineStr"/>
    </row>
    <row r="84" ht="20" customHeight="1">
      <c r="A84" s="12" t="b">
        <v>1</v>
      </c>
      <c r="B84" s="18">
        <f>IF(C84&lt;&gt;"", ROW()-8, "")</f>
        <v/>
      </c>
      <c r="C84" s="23" t="inlineStr"/>
      <c r="D84" s="18">
        <f>IF(C84&lt;&gt;"", TEXT(C84, "dddd"), "")</f>
        <v/>
      </c>
      <c r="E84" s="24" t="inlineStr"/>
      <c r="F84" s="19">
        <f>IF(E84="Abdullah AlRubiyan", "Grade 9 American (MIS)", IF(E84="Shadan", "Grade 11A (Girls)", IF(E84="Talal", "Grade 9B / 7 (Boys)", IF(E84="Nawaf", "Grade 9B / 5 (Boys)", IF(E84="Elyana", "Grade 9A / 3 (Girls)", "")))))</f>
        <v/>
      </c>
      <c r="G84" s="20">
        <f>IF(E84="Abdullah AlRubiyan", 150, IF(E84&lt;&gt;"", 125, ""))</f>
        <v/>
      </c>
      <c r="H84" s="21" t="inlineStr"/>
      <c r="I84" s="22">
        <f>IF(AND(H84&lt;&gt;"", G84&lt;&gt;""), H84*G84, "")</f>
        <v/>
      </c>
      <c r="J84" s="24" t="inlineStr"/>
      <c r="K84" s="24" t="inlineStr"/>
    </row>
    <row r="85" ht="20" customHeight="1">
      <c r="A85" s="12" t="b">
        <v>1</v>
      </c>
      <c r="B85" s="13">
        <f>IF(C85&lt;&gt;"", ROW()-8, "")</f>
        <v/>
      </c>
      <c r="C85" s="25" t="inlineStr"/>
      <c r="D85" s="13">
        <f>IF(C85&lt;&gt;"", TEXT(C85, "dddd"), "")</f>
        <v/>
      </c>
      <c r="E85" s="26" t="inlineStr"/>
      <c r="F85" s="14">
        <f>IF(E85="Abdullah AlRubiyan", "Grade 9 American (MIS)", IF(E85="Shadan", "Grade 11A (Girls)", IF(E85="Talal", "Grade 9B / 7 (Boys)", IF(E85="Nawaf", "Grade 9B / 5 (Boys)", IF(E85="Elyana", "Grade 9A / 3 (Girls)", "")))))</f>
        <v/>
      </c>
      <c r="G85" s="15">
        <f>IF(E85="Abdullah AlRubiyan", 150, IF(E85&lt;&gt;"", 125, ""))</f>
        <v/>
      </c>
      <c r="H85" s="16" t="inlineStr"/>
      <c r="I85" s="17">
        <f>IF(AND(H85&lt;&gt;"", G85&lt;&gt;""), H85*G85, "")</f>
        <v/>
      </c>
      <c r="J85" s="26" t="inlineStr"/>
      <c r="K85" s="26" t="inlineStr"/>
    </row>
    <row r="86" ht="20" customHeight="1">
      <c r="A86" s="12" t="b">
        <v>1</v>
      </c>
      <c r="B86" s="18">
        <f>IF(C86&lt;&gt;"", ROW()-8, "")</f>
        <v/>
      </c>
      <c r="C86" s="23" t="inlineStr"/>
      <c r="D86" s="18">
        <f>IF(C86&lt;&gt;"", TEXT(C86, "dddd"), "")</f>
        <v/>
      </c>
      <c r="E86" s="24" t="inlineStr"/>
      <c r="F86" s="19">
        <f>IF(E86="Abdullah AlRubiyan", "Grade 9 American (MIS)", IF(E86="Shadan", "Grade 11A (Girls)", IF(E86="Talal", "Grade 9B / 7 (Boys)", IF(E86="Nawaf", "Grade 9B / 5 (Boys)", IF(E86="Elyana", "Grade 9A / 3 (Girls)", "")))))</f>
        <v/>
      </c>
      <c r="G86" s="20">
        <f>IF(E86="Abdullah AlRubiyan", 150, IF(E86&lt;&gt;"", 125, ""))</f>
        <v/>
      </c>
      <c r="H86" s="21" t="inlineStr"/>
      <c r="I86" s="22">
        <f>IF(AND(H86&lt;&gt;"", G86&lt;&gt;""), H86*G86, "")</f>
        <v/>
      </c>
      <c r="J86" s="24" t="inlineStr"/>
      <c r="K86" s="24" t="inlineStr"/>
    </row>
    <row r="87" ht="20" customHeight="1">
      <c r="A87" s="12" t="b">
        <v>1</v>
      </c>
      <c r="B87" s="13">
        <f>IF(C87&lt;&gt;"", ROW()-8, "")</f>
        <v/>
      </c>
      <c r="C87" s="25" t="inlineStr"/>
      <c r="D87" s="13">
        <f>IF(C87&lt;&gt;"", TEXT(C87, "dddd"), "")</f>
        <v/>
      </c>
      <c r="E87" s="26" t="inlineStr"/>
      <c r="F87" s="14">
        <f>IF(E87="Abdullah AlRubiyan", "Grade 9 American (MIS)", IF(E87="Shadan", "Grade 11A (Girls)", IF(E87="Talal", "Grade 9B / 7 (Boys)", IF(E87="Nawaf", "Grade 9B / 5 (Boys)", IF(E87="Elyana", "Grade 9A / 3 (Girls)", "")))))</f>
        <v/>
      </c>
      <c r="G87" s="15">
        <f>IF(E87="Abdullah AlRubiyan", 150, IF(E87&lt;&gt;"", 125, ""))</f>
        <v/>
      </c>
      <c r="H87" s="16" t="inlineStr"/>
      <c r="I87" s="17">
        <f>IF(AND(H87&lt;&gt;"", G87&lt;&gt;""), H87*G87, "")</f>
        <v/>
      </c>
      <c r="J87" s="26" t="inlineStr"/>
      <c r="K87" s="26" t="inlineStr"/>
    </row>
    <row r="88" ht="20" customHeight="1">
      <c r="A88" s="12" t="b">
        <v>1</v>
      </c>
      <c r="B88" s="18">
        <f>IF(C88&lt;&gt;"", ROW()-8, "")</f>
        <v/>
      </c>
      <c r="C88" s="23" t="inlineStr"/>
      <c r="D88" s="18">
        <f>IF(C88&lt;&gt;"", TEXT(C88, "dddd"), "")</f>
        <v/>
      </c>
      <c r="E88" s="24" t="inlineStr"/>
      <c r="F88" s="19">
        <f>IF(E88="Abdullah AlRubiyan", "Grade 9 American (MIS)", IF(E88="Shadan", "Grade 11A (Girls)", IF(E88="Talal", "Grade 9B / 7 (Boys)", IF(E88="Nawaf", "Grade 9B / 5 (Boys)", IF(E88="Elyana", "Grade 9A / 3 (Girls)", "")))))</f>
        <v/>
      </c>
      <c r="G88" s="20">
        <f>IF(E88="Abdullah AlRubiyan", 150, IF(E88&lt;&gt;"", 125, ""))</f>
        <v/>
      </c>
      <c r="H88" s="21" t="inlineStr"/>
      <c r="I88" s="22">
        <f>IF(AND(H88&lt;&gt;"", G88&lt;&gt;""), H88*G88, "")</f>
        <v/>
      </c>
      <c r="J88" s="24" t="inlineStr"/>
      <c r="K88" s="24" t="inlineStr"/>
    </row>
    <row r="89" ht="20" customHeight="1">
      <c r="A89" s="12" t="b">
        <v>1</v>
      </c>
      <c r="B89" s="13">
        <f>IF(C89&lt;&gt;"", ROW()-8, "")</f>
        <v/>
      </c>
      <c r="C89" s="25" t="inlineStr"/>
      <c r="D89" s="13">
        <f>IF(C89&lt;&gt;"", TEXT(C89, "dddd"), "")</f>
        <v/>
      </c>
      <c r="E89" s="26" t="inlineStr"/>
      <c r="F89" s="14">
        <f>IF(E89="Abdullah AlRubiyan", "Grade 9 American (MIS)", IF(E89="Shadan", "Grade 11A (Girls)", IF(E89="Talal", "Grade 9B / 7 (Boys)", IF(E89="Nawaf", "Grade 9B / 5 (Boys)", IF(E89="Elyana", "Grade 9A / 3 (Girls)", "")))))</f>
        <v/>
      </c>
      <c r="G89" s="15">
        <f>IF(E89="Abdullah AlRubiyan", 150, IF(E89&lt;&gt;"", 125, ""))</f>
        <v/>
      </c>
      <c r="H89" s="16" t="inlineStr"/>
      <c r="I89" s="17">
        <f>IF(AND(H89&lt;&gt;"", G89&lt;&gt;""), H89*G89, "")</f>
        <v/>
      </c>
      <c r="J89" s="26" t="inlineStr"/>
      <c r="K89" s="26" t="inlineStr"/>
    </row>
    <row r="90" ht="20" customHeight="1">
      <c r="A90" s="12" t="b">
        <v>1</v>
      </c>
      <c r="B90" s="18">
        <f>IF(C90&lt;&gt;"", ROW()-8, "")</f>
        <v/>
      </c>
      <c r="C90" s="23" t="inlineStr"/>
      <c r="D90" s="18">
        <f>IF(C90&lt;&gt;"", TEXT(C90, "dddd"), "")</f>
        <v/>
      </c>
      <c r="E90" s="24" t="inlineStr"/>
      <c r="F90" s="19">
        <f>IF(E90="Abdullah AlRubiyan", "Grade 9 American (MIS)", IF(E90="Shadan", "Grade 11A (Girls)", IF(E90="Talal", "Grade 9B / 7 (Boys)", IF(E90="Nawaf", "Grade 9B / 5 (Boys)", IF(E90="Elyana", "Grade 9A / 3 (Girls)", "")))))</f>
        <v/>
      </c>
      <c r="G90" s="20">
        <f>IF(E90="Abdullah AlRubiyan", 150, IF(E90&lt;&gt;"", 125, ""))</f>
        <v/>
      </c>
      <c r="H90" s="21" t="inlineStr"/>
      <c r="I90" s="22">
        <f>IF(AND(H90&lt;&gt;"", G90&lt;&gt;""), H90*G90, "")</f>
        <v/>
      </c>
      <c r="J90" s="24" t="inlineStr"/>
      <c r="K90" s="24" t="inlineStr"/>
    </row>
    <row r="91" ht="20" customHeight="1">
      <c r="A91" s="12" t="b">
        <v>1</v>
      </c>
      <c r="B91" s="13">
        <f>IF(C91&lt;&gt;"", ROW()-8, "")</f>
        <v/>
      </c>
      <c r="C91" s="25" t="inlineStr"/>
      <c r="D91" s="13">
        <f>IF(C91&lt;&gt;"", TEXT(C91, "dddd"), "")</f>
        <v/>
      </c>
      <c r="E91" s="26" t="inlineStr"/>
      <c r="F91" s="14">
        <f>IF(E91="Abdullah AlRubiyan", "Grade 9 American (MIS)", IF(E91="Shadan", "Grade 11A (Girls)", IF(E91="Talal", "Grade 9B / 7 (Boys)", IF(E91="Nawaf", "Grade 9B / 5 (Boys)", IF(E91="Elyana", "Grade 9A / 3 (Girls)", "")))))</f>
        <v/>
      </c>
      <c r="G91" s="15">
        <f>IF(E91="Abdullah AlRubiyan", 150, IF(E91&lt;&gt;"", 125, ""))</f>
        <v/>
      </c>
      <c r="H91" s="16" t="inlineStr"/>
      <c r="I91" s="17">
        <f>IF(AND(H91&lt;&gt;"", G91&lt;&gt;""), H91*G91, "")</f>
        <v/>
      </c>
      <c r="J91" s="26" t="inlineStr"/>
      <c r="K91" s="26" t="inlineStr"/>
    </row>
    <row r="92" ht="20" customHeight="1">
      <c r="A92" s="12" t="b">
        <v>1</v>
      </c>
      <c r="B92" s="18">
        <f>IF(C92&lt;&gt;"", ROW()-8, "")</f>
        <v/>
      </c>
      <c r="C92" s="23" t="inlineStr"/>
      <c r="D92" s="18">
        <f>IF(C92&lt;&gt;"", TEXT(C92, "dddd"), "")</f>
        <v/>
      </c>
      <c r="E92" s="24" t="inlineStr"/>
      <c r="F92" s="19">
        <f>IF(E92="Abdullah AlRubiyan", "Grade 9 American (MIS)", IF(E92="Shadan", "Grade 11A (Girls)", IF(E92="Talal", "Grade 9B / 7 (Boys)", IF(E92="Nawaf", "Grade 9B / 5 (Boys)", IF(E92="Elyana", "Grade 9A / 3 (Girls)", "")))))</f>
        <v/>
      </c>
      <c r="G92" s="20">
        <f>IF(E92="Abdullah AlRubiyan", 150, IF(E92&lt;&gt;"", 125, ""))</f>
        <v/>
      </c>
      <c r="H92" s="21" t="inlineStr"/>
      <c r="I92" s="22">
        <f>IF(AND(H92&lt;&gt;"", G92&lt;&gt;""), H92*G92, "")</f>
        <v/>
      </c>
      <c r="J92" s="24" t="inlineStr"/>
      <c r="K92" s="24" t="inlineStr"/>
    </row>
    <row r="93" ht="20" customHeight="1">
      <c r="A93" s="12" t="b">
        <v>1</v>
      </c>
      <c r="B93" s="13">
        <f>IF(C93&lt;&gt;"", ROW()-8, "")</f>
        <v/>
      </c>
      <c r="C93" s="25" t="inlineStr"/>
      <c r="D93" s="13">
        <f>IF(C93&lt;&gt;"", TEXT(C93, "dddd"), "")</f>
        <v/>
      </c>
      <c r="E93" s="26" t="inlineStr"/>
      <c r="F93" s="14">
        <f>IF(E93="Abdullah AlRubiyan", "Grade 9 American (MIS)", IF(E93="Shadan", "Grade 11A (Girls)", IF(E93="Talal", "Grade 9B / 7 (Boys)", IF(E93="Nawaf", "Grade 9B / 5 (Boys)", IF(E93="Elyana", "Grade 9A / 3 (Girls)", "")))))</f>
        <v/>
      </c>
      <c r="G93" s="15">
        <f>IF(E93="Abdullah AlRubiyan", 150, IF(E93&lt;&gt;"", 125, ""))</f>
        <v/>
      </c>
      <c r="H93" s="16" t="inlineStr"/>
      <c r="I93" s="17">
        <f>IF(AND(H93&lt;&gt;"", G93&lt;&gt;""), H93*G93, "")</f>
        <v/>
      </c>
      <c r="J93" s="26" t="inlineStr"/>
      <c r="K93" s="26" t="inlineStr"/>
    </row>
    <row r="94" ht="20" customHeight="1">
      <c r="A94" s="12" t="b">
        <v>1</v>
      </c>
      <c r="B94" s="18">
        <f>IF(C94&lt;&gt;"", ROW()-8, "")</f>
        <v/>
      </c>
      <c r="C94" s="23" t="inlineStr"/>
      <c r="D94" s="18">
        <f>IF(C94&lt;&gt;"", TEXT(C94, "dddd"), "")</f>
        <v/>
      </c>
      <c r="E94" s="24" t="inlineStr"/>
      <c r="F94" s="19">
        <f>IF(E94="Abdullah AlRubiyan", "Grade 9 American (MIS)", IF(E94="Shadan", "Grade 11A (Girls)", IF(E94="Talal", "Grade 9B / 7 (Boys)", IF(E94="Nawaf", "Grade 9B / 5 (Boys)", IF(E94="Elyana", "Grade 9A / 3 (Girls)", "")))))</f>
        <v/>
      </c>
      <c r="G94" s="20">
        <f>IF(E94="Abdullah AlRubiyan", 150, IF(E94&lt;&gt;"", 125, ""))</f>
        <v/>
      </c>
      <c r="H94" s="21" t="inlineStr"/>
      <c r="I94" s="22">
        <f>IF(AND(H94&lt;&gt;"", G94&lt;&gt;""), H94*G94, "")</f>
        <v/>
      </c>
      <c r="J94" s="24" t="inlineStr"/>
      <c r="K94" s="24" t="inlineStr"/>
    </row>
    <row r="95" ht="20" customHeight="1">
      <c r="A95" s="12" t="b">
        <v>1</v>
      </c>
      <c r="B95" s="13">
        <f>IF(C95&lt;&gt;"", ROW()-8, "")</f>
        <v/>
      </c>
      <c r="C95" s="25" t="inlineStr"/>
      <c r="D95" s="13">
        <f>IF(C95&lt;&gt;"", TEXT(C95, "dddd"), "")</f>
        <v/>
      </c>
      <c r="E95" s="26" t="inlineStr"/>
      <c r="F95" s="14">
        <f>IF(E95="Abdullah AlRubiyan", "Grade 9 American (MIS)", IF(E95="Shadan", "Grade 11A (Girls)", IF(E95="Talal", "Grade 9B / 7 (Boys)", IF(E95="Nawaf", "Grade 9B / 5 (Boys)", IF(E95="Elyana", "Grade 9A / 3 (Girls)", "")))))</f>
        <v/>
      </c>
      <c r="G95" s="15">
        <f>IF(E95="Abdullah AlRubiyan", 150, IF(E95&lt;&gt;"", 125, ""))</f>
        <v/>
      </c>
      <c r="H95" s="16" t="inlineStr"/>
      <c r="I95" s="17">
        <f>IF(AND(H95&lt;&gt;"", G95&lt;&gt;""), H95*G95, "")</f>
        <v/>
      </c>
      <c r="J95" s="26" t="inlineStr"/>
      <c r="K95" s="26" t="inlineStr"/>
    </row>
    <row r="96" ht="20" customHeight="1">
      <c r="A96" s="12" t="b">
        <v>1</v>
      </c>
      <c r="B96" s="18">
        <f>IF(C96&lt;&gt;"", ROW()-8, "")</f>
        <v/>
      </c>
      <c r="C96" s="23" t="inlineStr"/>
      <c r="D96" s="18">
        <f>IF(C96&lt;&gt;"", TEXT(C96, "dddd"), "")</f>
        <v/>
      </c>
      <c r="E96" s="24" t="inlineStr"/>
      <c r="F96" s="19">
        <f>IF(E96="Abdullah AlRubiyan", "Grade 9 American (MIS)", IF(E96="Shadan", "Grade 11A (Girls)", IF(E96="Talal", "Grade 9B / 7 (Boys)", IF(E96="Nawaf", "Grade 9B / 5 (Boys)", IF(E96="Elyana", "Grade 9A / 3 (Girls)", "")))))</f>
        <v/>
      </c>
      <c r="G96" s="20">
        <f>IF(E96="Abdullah AlRubiyan", 150, IF(E96&lt;&gt;"", 125, ""))</f>
        <v/>
      </c>
      <c r="H96" s="21" t="inlineStr"/>
      <c r="I96" s="22">
        <f>IF(AND(H96&lt;&gt;"", G96&lt;&gt;""), H96*G96, "")</f>
        <v/>
      </c>
      <c r="J96" s="24" t="inlineStr"/>
      <c r="K96" s="24" t="inlineStr"/>
    </row>
    <row r="97" ht="20" customHeight="1">
      <c r="A97" s="12" t="b">
        <v>1</v>
      </c>
      <c r="B97" s="13">
        <f>IF(C97&lt;&gt;"", ROW()-8, "")</f>
        <v/>
      </c>
      <c r="C97" s="25" t="inlineStr"/>
      <c r="D97" s="13">
        <f>IF(C97&lt;&gt;"", TEXT(C97, "dddd"), "")</f>
        <v/>
      </c>
      <c r="E97" s="26" t="inlineStr"/>
      <c r="F97" s="14">
        <f>IF(E97="Abdullah AlRubiyan", "Grade 9 American (MIS)", IF(E97="Shadan", "Grade 11A (Girls)", IF(E97="Talal", "Grade 9B / 7 (Boys)", IF(E97="Nawaf", "Grade 9B / 5 (Boys)", IF(E97="Elyana", "Grade 9A / 3 (Girls)", "")))))</f>
        <v/>
      </c>
      <c r="G97" s="15">
        <f>IF(E97="Abdullah AlRubiyan", 150, IF(E97&lt;&gt;"", 125, ""))</f>
        <v/>
      </c>
      <c r="H97" s="16" t="inlineStr"/>
      <c r="I97" s="17">
        <f>IF(AND(H97&lt;&gt;"", G97&lt;&gt;""), H97*G97, "")</f>
        <v/>
      </c>
      <c r="J97" s="26" t="inlineStr"/>
      <c r="K97" s="26" t="inlineStr"/>
    </row>
    <row r="98" ht="20" customHeight="1">
      <c r="A98" s="12" t="b">
        <v>1</v>
      </c>
      <c r="B98" s="18">
        <f>IF(C98&lt;&gt;"", ROW()-8, "")</f>
        <v/>
      </c>
      <c r="C98" s="23" t="inlineStr"/>
      <c r="D98" s="18">
        <f>IF(C98&lt;&gt;"", TEXT(C98, "dddd"), "")</f>
        <v/>
      </c>
      <c r="E98" s="24" t="inlineStr"/>
      <c r="F98" s="19">
        <f>IF(E98="Abdullah AlRubiyan", "Grade 9 American (MIS)", IF(E98="Shadan", "Grade 11A (Girls)", IF(E98="Talal", "Grade 9B / 7 (Boys)", IF(E98="Nawaf", "Grade 9B / 5 (Boys)", IF(E98="Elyana", "Grade 9A / 3 (Girls)", "")))))</f>
        <v/>
      </c>
      <c r="G98" s="20">
        <f>IF(E98="Abdullah AlRubiyan", 150, IF(E98&lt;&gt;"", 125, ""))</f>
        <v/>
      </c>
      <c r="H98" s="21" t="inlineStr"/>
      <c r="I98" s="22">
        <f>IF(AND(H98&lt;&gt;"", G98&lt;&gt;""), H98*G98, "")</f>
        <v/>
      </c>
      <c r="J98" s="24" t="inlineStr"/>
      <c r="K98" s="24" t="inlineStr"/>
    </row>
    <row r="99" ht="20" customHeight="1">
      <c r="A99" s="12" t="b">
        <v>1</v>
      </c>
      <c r="B99" s="13">
        <f>IF(C99&lt;&gt;"", ROW()-8, "")</f>
        <v/>
      </c>
      <c r="C99" s="25" t="inlineStr"/>
      <c r="D99" s="13">
        <f>IF(C99&lt;&gt;"", TEXT(C99, "dddd"), "")</f>
        <v/>
      </c>
      <c r="E99" s="26" t="inlineStr"/>
      <c r="F99" s="14">
        <f>IF(E99="Abdullah AlRubiyan", "Grade 9 American (MIS)", IF(E99="Shadan", "Grade 11A (Girls)", IF(E99="Talal", "Grade 9B / 7 (Boys)", IF(E99="Nawaf", "Grade 9B / 5 (Boys)", IF(E99="Elyana", "Grade 9A / 3 (Girls)", "")))))</f>
        <v/>
      </c>
      <c r="G99" s="15">
        <f>IF(E99="Abdullah AlRubiyan", 150, IF(E99&lt;&gt;"", 125, ""))</f>
        <v/>
      </c>
      <c r="H99" s="16" t="inlineStr"/>
      <c r="I99" s="17">
        <f>IF(AND(H99&lt;&gt;"", G99&lt;&gt;""), H99*G99, "")</f>
        <v/>
      </c>
      <c r="J99" s="26" t="inlineStr"/>
      <c r="K99" s="26" t="inlineStr"/>
    </row>
    <row r="100" ht="20" customHeight="1">
      <c r="A100" s="12" t="b">
        <v>1</v>
      </c>
      <c r="B100" s="18">
        <f>IF(C100&lt;&gt;"", ROW()-8, "")</f>
        <v/>
      </c>
      <c r="C100" s="23" t="inlineStr"/>
      <c r="D100" s="18">
        <f>IF(C100&lt;&gt;"", TEXT(C100, "dddd"), "")</f>
        <v/>
      </c>
      <c r="E100" s="24" t="inlineStr"/>
      <c r="F100" s="19">
        <f>IF(E100="Abdullah AlRubiyan", "Grade 9 American (MIS)", IF(E100="Shadan", "Grade 11A (Girls)", IF(E100="Talal", "Grade 9B / 7 (Boys)", IF(E100="Nawaf", "Grade 9B / 5 (Boys)", IF(E100="Elyana", "Grade 9A / 3 (Girls)", "")))))</f>
        <v/>
      </c>
      <c r="G100" s="20">
        <f>IF(E100="Abdullah AlRubiyan", 150, IF(E100&lt;&gt;"", 125, ""))</f>
        <v/>
      </c>
      <c r="H100" s="21" t="inlineStr"/>
      <c r="I100" s="22">
        <f>IF(AND(H100&lt;&gt;"", G100&lt;&gt;""), H100*G100, "")</f>
        <v/>
      </c>
      <c r="J100" s="24" t="inlineStr"/>
      <c r="K100" s="24" t="inlineStr"/>
    </row>
    <row r="101" ht="20" customHeight="1">
      <c r="A101" s="12" t="b">
        <v>1</v>
      </c>
      <c r="B101" s="13">
        <f>IF(C101&lt;&gt;"", ROW()-8, "")</f>
        <v/>
      </c>
      <c r="C101" s="25" t="inlineStr"/>
      <c r="D101" s="13">
        <f>IF(C101&lt;&gt;"", TEXT(C101, "dddd"), "")</f>
        <v/>
      </c>
      <c r="E101" s="26" t="inlineStr"/>
      <c r="F101" s="14">
        <f>IF(E101="Abdullah AlRubiyan", "Grade 9 American (MIS)", IF(E101="Shadan", "Grade 11A (Girls)", IF(E101="Talal", "Grade 9B / 7 (Boys)", IF(E101="Nawaf", "Grade 9B / 5 (Boys)", IF(E101="Elyana", "Grade 9A / 3 (Girls)", "")))))</f>
        <v/>
      </c>
      <c r="G101" s="15">
        <f>IF(E101="Abdullah AlRubiyan", 150, IF(E101&lt;&gt;"", 125, ""))</f>
        <v/>
      </c>
      <c r="H101" s="16" t="inlineStr"/>
      <c r="I101" s="17">
        <f>IF(AND(H101&lt;&gt;"", G101&lt;&gt;""), H101*G101, "")</f>
        <v/>
      </c>
      <c r="J101" s="26" t="inlineStr"/>
      <c r="K101" s="26" t="inlineStr"/>
    </row>
    <row r="102" ht="20" customHeight="1">
      <c r="A102" s="12" t="b">
        <v>1</v>
      </c>
      <c r="B102" s="18">
        <f>IF(C102&lt;&gt;"", ROW()-8, "")</f>
        <v/>
      </c>
      <c r="C102" s="23" t="inlineStr"/>
      <c r="D102" s="18">
        <f>IF(C102&lt;&gt;"", TEXT(C102, "dddd"), "")</f>
        <v/>
      </c>
      <c r="E102" s="24" t="inlineStr"/>
      <c r="F102" s="19">
        <f>IF(E102="Abdullah AlRubiyan", "Grade 9 American (MIS)", IF(E102="Shadan", "Grade 11A (Girls)", IF(E102="Talal", "Grade 9B / 7 (Boys)", IF(E102="Nawaf", "Grade 9B / 5 (Boys)", IF(E102="Elyana", "Grade 9A / 3 (Girls)", "")))))</f>
        <v/>
      </c>
      <c r="G102" s="20">
        <f>IF(E102="Abdullah AlRubiyan", 150, IF(E102&lt;&gt;"", 125, ""))</f>
        <v/>
      </c>
      <c r="H102" s="21" t="inlineStr"/>
      <c r="I102" s="22">
        <f>IF(AND(H102&lt;&gt;"", G102&lt;&gt;""), H102*G102, "")</f>
        <v/>
      </c>
      <c r="J102" s="24" t="inlineStr"/>
      <c r="K102" s="24" t="inlineStr"/>
    </row>
    <row r="103" ht="20" customHeight="1">
      <c r="A103" s="12" t="b">
        <v>1</v>
      </c>
      <c r="B103" s="13">
        <f>IF(C103&lt;&gt;"", ROW()-8, "")</f>
        <v/>
      </c>
      <c r="C103" s="25" t="inlineStr"/>
      <c r="D103" s="13">
        <f>IF(C103&lt;&gt;"", TEXT(C103, "dddd"), "")</f>
        <v/>
      </c>
      <c r="E103" s="26" t="inlineStr"/>
      <c r="F103" s="14">
        <f>IF(E103="Abdullah AlRubiyan", "Grade 9 American (MIS)", IF(E103="Shadan", "Grade 11A (Girls)", IF(E103="Talal", "Grade 9B / 7 (Boys)", IF(E103="Nawaf", "Grade 9B / 5 (Boys)", IF(E103="Elyana", "Grade 9A / 3 (Girls)", "")))))</f>
        <v/>
      </c>
      <c r="G103" s="15">
        <f>IF(E103="Abdullah AlRubiyan", 150, IF(E103&lt;&gt;"", 125, ""))</f>
        <v/>
      </c>
      <c r="H103" s="16" t="inlineStr"/>
      <c r="I103" s="17">
        <f>IF(AND(H103&lt;&gt;"", G103&lt;&gt;""), H103*G103, "")</f>
        <v/>
      </c>
      <c r="J103" s="26" t="inlineStr"/>
      <c r="K103" s="26" t="inlineStr"/>
    </row>
    <row r="104" ht="20" customHeight="1">
      <c r="A104" s="12" t="b">
        <v>1</v>
      </c>
      <c r="B104" s="18">
        <f>IF(C104&lt;&gt;"", ROW()-8, "")</f>
        <v/>
      </c>
      <c r="C104" s="23" t="inlineStr"/>
      <c r="D104" s="18">
        <f>IF(C104&lt;&gt;"", TEXT(C104, "dddd"), "")</f>
        <v/>
      </c>
      <c r="E104" s="24" t="inlineStr"/>
      <c r="F104" s="19">
        <f>IF(E104="Abdullah AlRubiyan", "Grade 9 American (MIS)", IF(E104="Shadan", "Grade 11A (Girls)", IF(E104="Talal", "Grade 9B / 7 (Boys)", IF(E104="Nawaf", "Grade 9B / 5 (Boys)", IF(E104="Elyana", "Grade 9A / 3 (Girls)", "")))))</f>
        <v/>
      </c>
      <c r="G104" s="20">
        <f>IF(E104="Abdullah AlRubiyan", 150, IF(E104&lt;&gt;"", 125, ""))</f>
        <v/>
      </c>
      <c r="H104" s="21" t="inlineStr"/>
      <c r="I104" s="22">
        <f>IF(AND(H104&lt;&gt;"", G104&lt;&gt;""), H104*G104, "")</f>
        <v/>
      </c>
      <c r="J104" s="24" t="inlineStr"/>
      <c r="K104" s="24" t="inlineStr"/>
    </row>
    <row r="105" ht="20" customHeight="1">
      <c r="A105" s="12" t="b">
        <v>1</v>
      </c>
      <c r="B105" s="13">
        <f>IF(C105&lt;&gt;"", ROW()-8, "")</f>
        <v/>
      </c>
      <c r="C105" s="25" t="inlineStr"/>
      <c r="D105" s="13">
        <f>IF(C105&lt;&gt;"", TEXT(C105, "dddd"), "")</f>
        <v/>
      </c>
      <c r="E105" s="26" t="inlineStr"/>
      <c r="F105" s="14">
        <f>IF(E105="Abdullah AlRubiyan", "Grade 9 American (MIS)", IF(E105="Shadan", "Grade 11A (Girls)", IF(E105="Talal", "Grade 9B / 7 (Boys)", IF(E105="Nawaf", "Grade 9B / 5 (Boys)", IF(E105="Elyana", "Grade 9A / 3 (Girls)", "")))))</f>
        <v/>
      </c>
      <c r="G105" s="15">
        <f>IF(E105="Abdullah AlRubiyan", 150, IF(E105&lt;&gt;"", 125, ""))</f>
        <v/>
      </c>
      <c r="H105" s="16" t="inlineStr"/>
      <c r="I105" s="17">
        <f>IF(AND(H105&lt;&gt;"", G105&lt;&gt;""), H105*G105, "")</f>
        <v/>
      </c>
      <c r="J105" s="26" t="inlineStr"/>
      <c r="K105" s="26" t="inlineStr"/>
    </row>
    <row r="106" ht="20" customHeight="1">
      <c r="A106" s="12" t="b">
        <v>1</v>
      </c>
      <c r="B106" s="18">
        <f>IF(C106&lt;&gt;"", ROW()-8, "")</f>
        <v/>
      </c>
      <c r="C106" s="23" t="inlineStr"/>
      <c r="D106" s="18">
        <f>IF(C106&lt;&gt;"", TEXT(C106, "dddd"), "")</f>
        <v/>
      </c>
      <c r="E106" s="24" t="inlineStr"/>
      <c r="F106" s="19">
        <f>IF(E106="Abdullah AlRubiyan", "Grade 9 American (MIS)", IF(E106="Shadan", "Grade 11A (Girls)", IF(E106="Talal", "Grade 9B / 7 (Boys)", IF(E106="Nawaf", "Grade 9B / 5 (Boys)", IF(E106="Elyana", "Grade 9A / 3 (Girls)", "")))))</f>
        <v/>
      </c>
      <c r="G106" s="20">
        <f>IF(E106="Abdullah AlRubiyan", 150, IF(E106&lt;&gt;"", 125, ""))</f>
        <v/>
      </c>
      <c r="H106" s="21" t="inlineStr"/>
      <c r="I106" s="22">
        <f>IF(AND(H106&lt;&gt;"", G106&lt;&gt;""), H106*G106, "")</f>
        <v/>
      </c>
      <c r="J106" s="24" t="inlineStr"/>
      <c r="K106" s="24" t="inlineStr"/>
    </row>
    <row r="107" ht="20" customHeight="1">
      <c r="A107" s="12" t="b">
        <v>1</v>
      </c>
      <c r="B107" s="13">
        <f>IF(C107&lt;&gt;"", ROW()-8, "")</f>
        <v/>
      </c>
      <c r="C107" s="25" t="inlineStr"/>
      <c r="D107" s="13">
        <f>IF(C107&lt;&gt;"", TEXT(C107, "dddd"), "")</f>
        <v/>
      </c>
      <c r="E107" s="26" t="inlineStr"/>
      <c r="F107" s="14">
        <f>IF(E107="Abdullah AlRubiyan", "Grade 9 American (MIS)", IF(E107="Shadan", "Grade 11A (Girls)", IF(E107="Talal", "Grade 9B / 7 (Boys)", IF(E107="Nawaf", "Grade 9B / 5 (Boys)", IF(E107="Elyana", "Grade 9A / 3 (Girls)", "")))))</f>
        <v/>
      </c>
      <c r="G107" s="15">
        <f>IF(E107="Abdullah AlRubiyan", 150, IF(E107&lt;&gt;"", 125, ""))</f>
        <v/>
      </c>
      <c r="H107" s="16" t="inlineStr"/>
      <c r="I107" s="17">
        <f>IF(AND(H107&lt;&gt;"", G107&lt;&gt;""), H107*G107, "")</f>
        <v/>
      </c>
      <c r="J107" s="26" t="inlineStr"/>
      <c r="K107" s="26" t="inlineStr"/>
    </row>
    <row r="108" ht="20" customHeight="1">
      <c r="A108" s="12" t="b">
        <v>1</v>
      </c>
      <c r="B108" s="18">
        <f>IF(C108&lt;&gt;"", ROW()-8, "")</f>
        <v/>
      </c>
      <c r="C108" s="23" t="inlineStr"/>
      <c r="D108" s="18">
        <f>IF(C108&lt;&gt;"", TEXT(C108, "dddd"), "")</f>
        <v/>
      </c>
      <c r="E108" s="24" t="inlineStr"/>
      <c r="F108" s="19">
        <f>IF(E108="Abdullah AlRubiyan", "Grade 9 American (MIS)", IF(E108="Shadan", "Grade 11A (Girls)", IF(E108="Talal", "Grade 9B / 7 (Boys)", IF(E108="Nawaf", "Grade 9B / 5 (Boys)", IF(E108="Elyana", "Grade 9A / 3 (Girls)", "")))))</f>
        <v/>
      </c>
      <c r="G108" s="20">
        <f>IF(E108="Abdullah AlRubiyan", 150, IF(E108&lt;&gt;"", 125, ""))</f>
        <v/>
      </c>
      <c r="H108" s="21" t="inlineStr"/>
      <c r="I108" s="22">
        <f>IF(AND(H108&lt;&gt;"", G108&lt;&gt;""), H108*G108, "")</f>
        <v/>
      </c>
      <c r="J108" s="24" t="inlineStr"/>
      <c r="K108" s="24" t="inlineStr"/>
    </row>
    <row r="109" ht="20" customHeight="1">
      <c r="A109" s="12" t="b">
        <v>1</v>
      </c>
      <c r="B109" s="13">
        <f>IF(C109&lt;&gt;"", ROW()-8, "")</f>
        <v/>
      </c>
      <c r="C109" s="25" t="inlineStr"/>
      <c r="D109" s="13">
        <f>IF(C109&lt;&gt;"", TEXT(C109, "dddd"), "")</f>
        <v/>
      </c>
      <c r="E109" s="26" t="inlineStr"/>
      <c r="F109" s="14">
        <f>IF(E109="Abdullah AlRubiyan", "Grade 9 American (MIS)", IF(E109="Shadan", "Grade 11A (Girls)", IF(E109="Talal", "Grade 9B / 7 (Boys)", IF(E109="Nawaf", "Grade 9B / 5 (Boys)", IF(E109="Elyana", "Grade 9A / 3 (Girls)", "")))))</f>
        <v/>
      </c>
      <c r="G109" s="15">
        <f>IF(E109="Abdullah AlRubiyan", 150, IF(E109&lt;&gt;"", 125, ""))</f>
        <v/>
      </c>
      <c r="H109" s="16" t="inlineStr"/>
      <c r="I109" s="17">
        <f>IF(AND(H109&lt;&gt;"", G109&lt;&gt;""), H109*G109, "")</f>
        <v/>
      </c>
      <c r="J109" s="26" t="inlineStr"/>
      <c r="K109" s="26" t="inlineStr"/>
    </row>
    <row r="110" ht="20" customHeight="1">
      <c r="A110" s="12" t="b">
        <v>1</v>
      </c>
      <c r="B110" s="18">
        <f>IF(C110&lt;&gt;"", ROW()-8, "")</f>
        <v/>
      </c>
      <c r="C110" s="23" t="inlineStr"/>
      <c r="D110" s="18">
        <f>IF(C110&lt;&gt;"", TEXT(C110, "dddd"), "")</f>
        <v/>
      </c>
      <c r="E110" s="24" t="inlineStr"/>
      <c r="F110" s="19">
        <f>IF(E110="Abdullah AlRubiyan", "Grade 9 American (MIS)", IF(E110="Shadan", "Grade 11A (Girls)", IF(E110="Talal", "Grade 9B / 7 (Boys)", IF(E110="Nawaf", "Grade 9B / 5 (Boys)", IF(E110="Elyana", "Grade 9A / 3 (Girls)", "")))))</f>
        <v/>
      </c>
      <c r="G110" s="20">
        <f>IF(E110="Abdullah AlRubiyan", 150, IF(E110&lt;&gt;"", 125, ""))</f>
        <v/>
      </c>
      <c r="H110" s="21" t="inlineStr"/>
      <c r="I110" s="22">
        <f>IF(AND(H110&lt;&gt;"", G110&lt;&gt;""), H110*G110, "")</f>
        <v/>
      </c>
      <c r="J110" s="24" t="inlineStr"/>
      <c r="K110" s="24" t="inlineStr"/>
    </row>
    <row r="111" ht="20" customHeight="1">
      <c r="A111" s="12" t="b">
        <v>1</v>
      </c>
      <c r="B111" s="13">
        <f>IF(C111&lt;&gt;"", ROW()-8, "")</f>
        <v/>
      </c>
      <c r="C111" s="25" t="inlineStr"/>
      <c r="D111" s="13">
        <f>IF(C111&lt;&gt;"", TEXT(C111, "dddd"), "")</f>
        <v/>
      </c>
      <c r="E111" s="26" t="inlineStr"/>
      <c r="F111" s="14">
        <f>IF(E111="Abdullah AlRubiyan", "Grade 9 American (MIS)", IF(E111="Shadan", "Grade 11A (Girls)", IF(E111="Talal", "Grade 9B / 7 (Boys)", IF(E111="Nawaf", "Grade 9B / 5 (Boys)", IF(E111="Elyana", "Grade 9A / 3 (Girls)", "")))))</f>
        <v/>
      </c>
      <c r="G111" s="15">
        <f>IF(E111="Abdullah AlRubiyan", 150, IF(E111&lt;&gt;"", 125, ""))</f>
        <v/>
      </c>
      <c r="H111" s="16" t="inlineStr"/>
      <c r="I111" s="17">
        <f>IF(AND(H111&lt;&gt;"", G111&lt;&gt;""), H111*G111, "")</f>
        <v/>
      </c>
      <c r="J111" s="26" t="inlineStr"/>
      <c r="K111" s="26" t="inlineStr"/>
    </row>
    <row r="112" ht="20" customHeight="1">
      <c r="A112" s="12" t="b">
        <v>1</v>
      </c>
      <c r="B112" s="18">
        <f>IF(C112&lt;&gt;"", ROW()-8, "")</f>
        <v/>
      </c>
      <c r="C112" s="23" t="inlineStr"/>
      <c r="D112" s="18">
        <f>IF(C112&lt;&gt;"", TEXT(C112, "dddd"), "")</f>
        <v/>
      </c>
      <c r="E112" s="24" t="inlineStr"/>
      <c r="F112" s="19">
        <f>IF(E112="Abdullah AlRubiyan", "Grade 9 American (MIS)", IF(E112="Shadan", "Grade 11A (Girls)", IF(E112="Talal", "Grade 9B / 7 (Boys)", IF(E112="Nawaf", "Grade 9B / 5 (Boys)", IF(E112="Elyana", "Grade 9A / 3 (Girls)", "")))))</f>
        <v/>
      </c>
      <c r="G112" s="20">
        <f>IF(E112="Abdullah AlRubiyan", 150, IF(E112&lt;&gt;"", 125, ""))</f>
        <v/>
      </c>
      <c r="H112" s="21" t="inlineStr"/>
      <c r="I112" s="22">
        <f>IF(AND(H112&lt;&gt;"", G112&lt;&gt;""), H112*G112, "")</f>
        <v/>
      </c>
      <c r="J112" s="24" t="inlineStr"/>
      <c r="K112" s="24" t="inlineStr"/>
    </row>
    <row r="113" ht="20" customHeight="1">
      <c r="A113" s="12" t="b">
        <v>1</v>
      </c>
      <c r="B113" s="13">
        <f>IF(C113&lt;&gt;"", ROW()-8, "")</f>
        <v/>
      </c>
      <c r="C113" s="25" t="inlineStr"/>
      <c r="D113" s="13">
        <f>IF(C113&lt;&gt;"", TEXT(C113, "dddd"), "")</f>
        <v/>
      </c>
      <c r="E113" s="26" t="inlineStr"/>
      <c r="F113" s="14">
        <f>IF(E113="Abdullah AlRubiyan", "Grade 9 American (MIS)", IF(E113="Shadan", "Grade 11A (Girls)", IF(E113="Talal", "Grade 9B / 7 (Boys)", IF(E113="Nawaf", "Grade 9B / 5 (Boys)", IF(E113="Elyana", "Grade 9A / 3 (Girls)", "")))))</f>
        <v/>
      </c>
      <c r="G113" s="15">
        <f>IF(E113="Abdullah AlRubiyan", 150, IF(E113&lt;&gt;"", 125, ""))</f>
        <v/>
      </c>
      <c r="H113" s="16" t="inlineStr"/>
      <c r="I113" s="17">
        <f>IF(AND(H113&lt;&gt;"", G113&lt;&gt;""), H113*G113, "")</f>
        <v/>
      </c>
      <c r="J113" s="26" t="inlineStr"/>
      <c r="K113" s="26" t="inlineStr"/>
    </row>
    <row r="114" ht="20" customHeight="1">
      <c r="A114" s="12" t="b">
        <v>1</v>
      </c>
      <c r="B114" s="18">
        <f>IF(C114&lt;&gt;"", ROW()-8, "")</f>
        <v/>
      </c>
      <c r="C114" s="23" t="inlineStr"/>
      <c r="D114" s="18">
        <f>IF(C114&lt;&gt;"", TEXT(C114, "dddd"), "")</f>
        <v/>
      </c>
      <c r="E114" s="24" t="inlineStr"/>
      <c r="F114" s="19">
        <f>IF(E114="Abdullah AlRubiyan", "Grade 9 American (MIS)", IF(E114="Shadan", "Grade 11A (Girls)", IF(E114="Talal", "Grade 9B / 7 (Boys)", IF(E114="Nawaf", "Grade 9B / 5 (Boys)", IF(E114="Elyana", "Grade 9A / 3 (Girls)", "")))))</f>
        <v/>
      </c>
      <c r="G114" s="20">
        <f>IF(E114="Abdullah AlRubiyan", 150, IF(E114&lt;&gt;"", 125, ""))</f>
        <v/>
      </c>
      <c r="H114" s="21" t="inlineStr"/>
      <c r="I114" s="22">
        <f>IF(AND(H114&lt;&gt;"", G114&lt;&gt;""), H114*G114, "")</f>
        <v/>
      </c>
      <c r="J114" s="24" t="inlineStr"/>
      <c r="K114" s="24" t="inlineStr"/>
    </row>
    <row r="115" ht="20" customHeight="1">
      <c r="A115" s="12" t="b">
        <v>1</v>
      </c>
      <c r="B115" s="13">
        <f>IF(C115&lt;&gt;"", ROW()-8, "")</f>
        <v/>
      </c>
      <c r="C115" s="25" t="inlineStr"/>
      <c r="D115" s="13">
        <f>IF(C115&lt;&gt;"", TEXT(C115, "dddd"), "")</f>
        <v/>
      </c>
      <c r="E115" s="26" t="inlineStr"/>
      <c r="F115" s="14">
        <f>IF(E115="Abdullah AlRubiyan", "Grade 9 American (MIS)", IF(E115="Shadan", "Grade 11A (Girls)", IF(E115="Talal", "Grade 9B / 7 (Boys)", IF(E115="Nawaf", "Grade 9B / 5 (Boys)", IF(E115="Elyana", "Grade 9A / 3 (Girls)", "")))))</f>
        <v/>
      </c>
      <c r="G115" s="15">
        <f>IF(E115="Abdullah AlRubiyan", 150, IF(E115&lt;&gt;"", 125, ""))</f>
        <v/>
      </c>
      <c r="H115" s="16" t="inlineStr"/>
      <c r="I115" s="17">
        <f>IF(AND(H115&lt;&gt;"", G115&lt;&gt;""), H115*G115, "")</f>
        <v/>
      </c>
      <c r="J115" s="26" t="inlineStr"/>
      <c r="K115" s="26" t="inlineStr"/>
    </row>
    <row r="116" ht="20" customHeight="1">
      <c r="A116" s="12" t="b">
        <v>1</v>
      </c>
      <c r="B116" s="18">
        <f>IF(C116&lt;&gt;"", ROW()-8, "")</f>
        <v/>
      </c>
      <c r="C116" s="23" t="inlineStr"/>
      <c r="D116" s="18">
        <f>IF(C116&lt;&gt;"", TEXT(C116, "dddd"), "")</f>
        <v/>
      </c>
      <c r="E116" s="24" t="inlineStr"/>
      <c r="F116" s="19">
        <f>IF(E116="Abdullah AlRubiyan", "Grade 9 American (MIS)", IF(E116="Shadan", "Grade 11A (Girls)", IF(E116="Talal", "Grade 9B / 7 (Boys)", IF(E116="Nawaf", "Grade 9B / 5 (Boys)", IF(E116="Elyana", "Grade 9A / 3 (Girls)", "")))))</f>
        <v/>
      </c>
      <c r="G116" s="20">
        <f>IF(E116="Abdullah AlRubiyan", 150, IF(E116&lt;&gt;"", 125, ""))</f>
        <v/>
      </c>
      <c r="H116" s="21" t="inlineStr"/>
      <c r="I116" s="22">
        <f>IF(AND(H116&lt;&gt;"", G116&lt;&gt;""), H116*G116, "")</f>
        <v/>
      </c>
      <c r="J116" s="24" t="inlineStr"/>
      <c r="K116" s="24" t="inlineStr"/>
    </row>
    <row r="117" ht="20" customHeight="1">
      <c r="A117" s="12" t="b">
        <v>1</v>
      </c>
      <c r="B117" s="13">
        <f>IF(C117&lt;&gt;"", ROW()-8, "")</f>
        <v/>
      </c>
      <c r="C117" s="25" t="inlineStr"/>
      <c r="D117" s="13">
        <f>IF(C117&lt;&gt;"", TEXT(C117, "dddd"), "")</f>
        <v/>
      </c>
      <c r="E117" s="26" t="inlineStr"/>
      <c r="F117" s="14">
        <f>IF(E117="Abdullah AlRubiyan", "Grade 9 American (MIS)", IF(E117="Shadan", "Grade 11A (Girls)", IF(E117="Talal", "Grade 9B / 7 (Boys)", IF(E117="Nawaf", "Grade 9B / 5 (Boys)", IF(E117="Elyana", "Grade 9A / 3 (Girls)", "")))))</f>
        <v/>
      </c>
      <c r="G117" s="15">
        <f>IF(E117="Abdullah AlRubiyan", 150, IF(E117&lt;&gt;"", 125, ""))</f>
        <v/>
      </c>
      <c r="H117" s="16" t="inlineStr"/>
      <c r="I117" s="17">
        <f>IF(AND(H117&lt;&gt;"", G117&lt;&gt;""), H117*G117, "")</f>
        <v/>
      </c>
      <c r="J117" s="26" t="inlineStr"/>
      <c r="K117" s="26" t="inlineStr"/>
    </row>
    <row r="118" ht="20" customHeight="1">
      <c r="A118" s="12" t="b">
        <v>1</v>
      </c>
      <c r="B118" s="18">
        <f>IF(C118&lt;&gt;"", ROW()-8, "")</f>
        <v/>
      </c>
      <c r="C118" s="23" t="inlineStr"/>
      <c r="D118" s="18">
        <f>IF(C118&lt;&gt;"", TEXT(C118, "dddd"), "")</f>
        <v/>
      </c>
      <c r="E118" s="24" t="inlineStr"/>
      <c r="F118" s="19">
        <f>IF(E118="Abdullah AlRubiyan", "Grade 9 American (MIS)", IF(E118="Shadan", "Grade 11A (Girls)", IF(E118="Talal", "Grade 9B / 7 (Boys)", IF(E118="Nawaf", "Grade 9B / 5 (Boys)", IF(E118="Elyana", "Grade 9A / 3 (Girls)", "")))))</f>
        <v/>
      </c>
      <c r="G118" s="20">
        <f>IF(E118="Abdullah AlRubiyan", 150, IF(E118&lt;&gt;"", 125, ""))</f>
        <v/>
      </c>
      <c r="H118" s="21" t="inlineStr"/>
      <c r="I118" s="22">
        <f>IF(AND(H118&lt;&gt;"", G118&lt;&gt;""), H118*G118, "")</f>
        <v/>
      </c>
      <c r="J118" s="24" t="inlineStr"/>
      <c r="K118" s="24" t="inlineStr"/>
    </row>
    <row r="119" ht="20" customHeight="1">
      <c r="A119" s="12" t="b">
        <v>1</v>
      </c>
      <c r="B119" s="13">
        <f>IF(C119&lt;&gt;"", ROW()-8, "")</f>
        <v/>
      </c>
      <c r="C119" s="25" t="inlineStr"/>
      <c r="D119" s="13">
        <f>IF(C119&lt;&gt;"", TEXT(C119, "dddd"), "")</f>
        <v/>
      </c>
      <c r="E119" s="26" t="inlineStr"/>
      <c r="F119" s="14">
        <f>IF(E119="Abdullah AlRubiyan", "Grade 9 American (MIS)", IF(E119="Shadan", "Grade 11A (Girls)", IF(E119="Talal", "Grade 9B / 7 (Boys)", IF(E119="Nawaf", "Grade 9B / 5 (Boys)", IF(E119="Elyana", "Grade 9A / 3 (Girls)", "")))))</f>
        <v/>
      </c>
      <c r="G119" s="15">
        <f>IF(E119="Abdullah AlRubiyan", 150, IF(E119&lt;&gt;"", 125, ""))</f>
        <v/>
      </c>
      <c r="H119" s="16" t="inlineStr"/>
      <c r="I119" s="17">
        <f>IF(AND(H119&lt;&gt;"", G119&lt;&gt;""), H119*G119, "")</f>
        <v/>
      </c>
      <c r="J119" s="26" t="inlineStr"/>
      <c r="K119" s="26" t="inlineStr"/>
    </row>
    <row r="120" ht="20" customHeight="1">
      <c r="A120" s="12" t="b">
        <v>1</v>
      </c>
      <c r="B120" s="18">
        <f>IF(C120&lt;&gt;"", ROW()-8, "")</f>
        <v/>
      </c>
      <c r="C120" s="23" t="inlineStr"/>
      <c r="D120" s="18">
        <f>IF(C120&lt;&gt;"", TEXT(C120, "dddd"), "")</f>
        <v/>
      </c>
      <c r="E120" s="24" t="inlineStr"/>
      <c r="F120" s="19">
        <f>IF(E120="Abdullah AlRubiyan", "Grade 9 American (MIS)", IF(E120="Shadan", "Grade 11A (Girls)", IF(E120="Talal", "Grade 9B / 7 (Boys)", IF(E120="Nawaf", "Grade 9B / 5 (Boys)", IF(E120="Elyana", "Grade 9A / 3 (Girls)", "")))))</f>
        <v/>
      </c>
      <c r="G120" s="20">
        <f>IF(E120="Abdullah AlRubiyan", 150, IF(E120&lt;&gt;"", 125, ""))</f>
        <v/>
      </c>
      <c r="H120" s="21" t="inlineStr"/>
      <c r="I120" s="22">
        <f>IF(AND(H120&lt;&gt;"", G120&lt;&gt;""), H120*G120, "")</f>
        <v/>
      </c>
      <c r="J120" s="24" t="inlineStr"/>
      <c r="K120" s="24" t="inlineStr"/>
    </row>
    <row r="121" ht="20" customHeight="1">
      <c r="A121" s="12" t="b">
        <v>1</v>
      </c>
      <c r="B121" s="13">
        <f>IF(C121&lt;&gt;"", ROW()-8, "")</f>
        <v/>
      </c>
      <c r="C121" s="25" t="inlineStr"/>
      <c r="D121" s="13">
        <f>IF(C121&lt;&gt;"", TEXT(C121, "dddd"), "")</f>
        <v/>
      </c>
      <c r="E121" s="26" t="inlineStr"/>
      <c r="F121" s="14">
        <f>IF(E121="Abdullah AlRubiyan", "Grade 9 American (MIS)", IF(E121="Shadan", "Grade 11A (Girls)", IF(E121="Talal", "Grade 9B / 7 (Boys)", IF(E121="Nawaf", "Grade 9B / 5 (Boys)", IF(E121="Elyana", "Grade 9A / 3 (Girls)", "")))))</f>
        <v/>
      </c>
      <c r="G121" s="15">
        <f>IF(E121="Abdullah AlRubiyan", 150, IF(E121&lt;&gt;"", 125, ""))</f>
        <v/>
      </c>
      <c r="H121" s="16" t="inlineStr"/>
      <c r="I121" s="17">
        <f>IF(AND(H121&lt;&gt;"", G121&lt;&gt;""), H121*G121, "")</f>
        <v/>
      </c>
      <c r="J121" s="26" t="inlineStr"/>
      <c r="K121" s="26" t="inlineStr"/>
    </row>
    <row r="122" ht="20" customHeight="1">
      <c r="A122" s="12" t="b">
        <v>1</v>
      </c>
      <c r="B122" s="18">
        <f>IF(C122&lt;&gt;"", ROW()-8, "")</f>
        <v/>
      </c>
      <c r="C122" s="23" t="inlineStr"/>
      <c r="D122" s="18">
        <f>IF(C122&lt;&gt;"", TEXT(C122, "dddd"), "")</f>
        <v/>
      </c>
      <c r="E122" s="24" t="inlineStr"/>
      <c r="F122" s="19">
        <f>IF(E122="Abdullah AlRubiyan", "Grade 9 American (MIS)", IF(E122="Shadan", "Grade 11A (Girls)", IF(E122="Talal", "Grade 9B / 7 (Boys)", IF(E122="Nawaf", "Grade 9B / 5 (Boys)", IF(E122="Elyana", "Grade 9A / 3 (Girls)", "")))))</f>
        <v/>
      </c>
      <c r="G122" s="20">
        <f>IF(E122="Abdullah AlRubiyan", 150, IF(E122&lt;&gt;"", 125, ""))</f>
        <v/>
      </c>
      <c r="H122" s="21" t="inlineStr"/>
      <c r="I122" s="22">
        <f>IF(AND(H122&lt;&gt;"", G122&lt;&gt;""), H122*G122, "")</f>
        <v/>
      </c>
      <c r="J122" s="24" t="inlineStr"/>
      <c r="K122" s="24" t="inlineStr"/>
    </row>
    <row r="123" ht="20" customHeight="1">
      <c r="A123" s="12" t="b">
        <v>1</v>
      </c>
      <c r="B123" s="13">
        <f>IF(C123&lt;&gt;"", ROW()-8, "")</f>
        <v/>
      </c>
      <c r="C123" s="25" t="inlineStr"/>
      <c r="D123" s="13">
        <f>IF(C123&lt;&gt;"", TEXT(C123, "dddd"), "")</f>
        <v/>
      </c>
      <c r="E123" s="26" t="inlineStr"/>
      <c r="F123" s="14">
        <f>IF(E123="Abdullah AlRubiyan", "Grade 9 American (MIS)", IF(E123="Shadan", "Grade 11A (Girls)", IF(E123="Talal", "Grade 9B / 7 (Boys)", IF(E123="Nawaf", "Grade 9B / 5 (Boys)", IF(E123="Elyana", "Grade 9A / 3 (Girls)", "")))))</f>
        <v/>
      </c>
      <c r="G123" s="15">
        <f>IF(E123="Abdullah AlRubiyan", 150, IF(E123&lt;&gt;"", 125, ""))</f>
        <v/>
      </c>
      <c r="H123" s="16" t="inlineStr"/>
      <c r="I123" s="17">
        <f>IF(AND(H123&lt;&gt;"", G123&lt;&gt;""), H123*G123, "")</f>
        <v/>
      </c>
      <c r="J123" s="26" t="inlineStr"/>
      <c r="K123" s="26" t="inlineStr"/>
    </row>
    <row r="124" ht="20" customHeight="1">
      <c r="A124" s="12" t="b">
        <v>1</v>
      </c>
      <c r="B124" s="18">
        <f>IF(C124&lt;&gt;"", ROW()-8, "")</f>
        <v/>
      </c>
      <c r="C124" s="23" t="inlineStr"/>
      <c r="D124" s="18">
        <f>IF(C124&lt;&gt;"", TEXT(C124, "dddd"), "")</f>
        <v/>
      </c>
      <c r="E124" s="24" t="inlineStr"/>
      <c r="F124" s="19">
        <f>IF(E124="Abdullah AlRubiyan", "Grade 9 American (MIS)", IF(E124="Shadan", "Grade 11A (Girls)", IF(E124="Talal", "Grade 9B / 7 (Boys)", IF(E124="Nawaf", "Grade 9B / 5 (Boys)", IF(E124="Elyana", "Grade 9A / 3 (Girls)", "")))))</f>
        <v/>
      </c>
      <c r="G124" s="20">
        <f>IF(E124="Abdullah AlRubiyan", 150, IF(E124&lt;&gt;"", 125, ""))</f>
        <v/>
      </c>
      <c r="H124" s="21" t="inlineStr"/>
      <c r="I124" s="22">
        <f>IF(AND(H124&lt;&gt;"", G124&lt;&gt;""), H124*G124, "")</f>
        <v/>
      </c>
      <c r="J124" s="24" t="inlineStr"/>
      <c r="K124" s="24" t="inlineStr"/>
    </row>
    <row r="125" ht="20" customHeight="1">
      <c r="A125" s="12" t="b">
        <v>1</v>
      </c>
      <c r="B125" s="13">
        <f>IF(C125&lt;&gt;"", ROW()-8, "")</f>
        <v/>
      </c>
      <c r="C125" s="25" t="inlineStr"/>
      <c r="D125" s="13">
        <f>IF(C125&lt;&gt;"", TEXT(C125, "dddd"), "")</f>
        <v/>
      </c>
      <c r="E125" s="26" t="inlineStr"/>
      <c r="F125" s="14">
        <f>IF(E125="Abdullah AlRubiyan", "Grade 9 American (MIS)", IF(E125="Shadan", "Grade 11A (Girls)", IF(E125="Talal", "Grade 9B / 7 (Boys)", IF(E125="Nawaf", "Grade 9B / 5 (Boys)", IF(E125="Elyana", "Grade 9A / 3 (Girls)", "")))))</f>
        <v/>
      </c>
      <c r="G125" s="15">
        <f>IF(E125="Abdullah AlRubiyan", 150, IF(E125&lt;&gt;"", 125, ""))</f>
        <v/>
      </c>
      <c r="H125" s="16" t="inlineStr"/>
      <c r="I125" s="17">
        <f>IF(AND(H125&lt;&gt;"", G125&lt;&gt;""), H125*G125, "")</f>
        <v/>
      </c>
      <c r="J125" s="26" t="inlineStr"/>
      <c r="K125" s="26" t="inlineStr"/>
    </row>
    <row r="126" ht="20" customHeight="1">
      <c r="A126" s="12" t="b">
        <v>1</v>
      </c>
      <c r="B126" s="18">
        <f>IF(C126&lt;&gt;"", ROW()-8, "")</f>
        <v/>
      </c>
      <c r="C126" s="23" t="inlineStr"/>
      <c r="D126" s="18">
        <f>IF(C126&lt;&gt;"", TEXT(C126, "dddd"), "")</f>
        <v/>
      </c>
      <c r="E126" s="24" t="inlineStr"/>
      <c r="F126" s="19">
        <f>IF(E126="Abdullah AlRubiyan", "Grade 9 American (MIS)", IF(E126="Shadan", "Grade 11A (Girls)", IF(E126="Talal", "Grade 9B / 7 (Boys)", IF(E126="Nawaf", "Grade 9B / 5 (Boys)", IF(E126="Elyana", "Grade 9A / 3 (Girls)", "")))))</f>
        <v/>
      </c>
      <c r="G126" s="20">
        <f>IF(E126="Abdullah AlRubiyan", 150, IF(E126&lt;&gt;"", 125, ""))</f>
        <v/>
      </c>
      <c r="H126" s="21" t="inlineStr"/>
      <c r="I126" s="22">
        <f>IF(AND(H126&lt;&gt;"", G126&lt;&gt;""), H126*G126, "")</f>
        <v/>
      </c>
      <c r="J126" s="24" t="inlineStr"/>
      <c r="K126" s="24" t="inlineStr"/>
    </row>
    <row r="127" ht="20" customHeight="1">
      <c r="A127" s="12" t="b">
        <v>1</v>
      </c>
      <c r="B127" s="13">
        <f>IF(C127&lt;&gt;"", ROW()-8, "")</f>
        <v/>
      </c>
      <c r="C127" s="25" t="inlineStr"/>
      <c r="D127" s="13">
        <f>IF(C127&lt;&gt;"", TEXT(C127, "dddd"), "")</f>
        <v/>
      </c>
      <c r="E127" s="26" t="inlineStr"/>
      <c r="F127" s="14">
        <f>IF(E127="Abdullah AlRubiyan", "Grade 9 American (MIS)", IF(E127="Shadan", "Grade 11A (Girls)", IF(E127="Talal", "Grade 9B / 7 (Boys)", IF(E127="Nawaf", "Grade 9B / 5 (Boys)", IF(E127="Elyana", "Grade 9A / 3 (Girls)", "")))))</f>
        <v/>
      </c>
      <c r="G127" s="15">
        <f>IF(E127="Abdullah AlRubiyan", 150, IF(E127&lt;&gt;"", 125, ""))</f>
        <v/>
      </c>
      <c r="H127" s="16" t="inlineStr"/>
      <c r="I127" s="17">
        <f>IF(AND(H127&lt;&gt;"", G127&lt;&gt;""), H127*G127, "")</f>
        <v/>
      </c>
      <c r="J127" s="26" t="inlineStr"/>
      <c r="K127" s="26" t="inlineStr"/>
    </row>
    <row r="128" ht="20" customHeight="1">
      <c r="A128" s="12" t="b">
        <v>1</v>
      </c>
      <c r="B128" s="18">
        <f>IF(C128&lt;&gt;"", ROW()-8, "")</f>
        <v/>
      </c>
      <c r="C128" s="23" t="inlineStr"/>
      <c r="D128" s="18">
        <f>IF(C128&lt;&gt;"", TEXT(C128, "dddd"), "")</f>
        <v/>
      </c>
      <c r="E128" s="24" t="inlineStr"/>
      <c r="F128" s="19">
        <f>IF(E128="Abdullah AlRubiyan", "Grade 9 American (MIS)", IF(E128="Shadan", "Grade 11A (Girls)", IF(E128="Talal", "Grade 9B / 7 (Boys)", IF(E128="Nawaf", "Grade 9B / 5 (Boys)", IF(E128="Elyana", "Grade 9A / 3 (Girls)", "")))))</f>
        <v/>
      </c>
      <c r="G128" s="20">
        <f>IF(E128="Abdullah AlRubiyan", 150, IF(E128&lt;&gt;"", 125, ""))</f>
        <v/>
      </c>
      <c r="H128" s="21" t="inlineStr"/>
      <c r="I128" s="22">
        <f>IF(AND(H128&lt;&gt;"", G128&lt;&gt;""), H128*G128, "")</f>
        <v/>
      </c>
      <c r="J128" s="24" t="inlineStr"/>
      <c r="K128" s="24" t="inlineStr"/>
    </row>
    <row r="129" ht="24" customHeight="1">
      <c r="A129" s="27" t="inlineStr">
        <is>
          <t>TOTAL TICKED SESSIONS &amp; BILLING</t>
        </is>
      </c>
      <c r="B129" s="28" t="n"/>
      <c r="C129" s="28" t="n"/>
      <c r="D129" s="28" t="n"/>
      <c r="E129" s="28" t="n"/>
      <c r="F129" s="28" t="n"/>
      <c r="G129" s="28" t="n"/>
      <c r="H129" s="29">
        <f>SUMIF(A9:A128, TRUE, H9:H128)</f>
        <v/>
      </c>
      <c r="I129" s="30">
        <f>SUMIF(A9:A128, TRUE, I9:I128)</f>
        <v/>
      </c>
      <c r="J129" s="31" t="inlineStr">
        <is>
          <t>Live auto-reading: enter hours in any row above and it calculates instantly</t>
        </is>
      </c>
      <c r="K129" s="32" t="n"/>
    </row>
  </sheetData>
  <mergeCells count="12">
    <mergeCell ref="J4:K4"/>
    <mergeCell ref="D5:F5"/>
    <mergeCell ref="A5:C5"/>
    <mergeCell ref="G5:I5"/>
    <mergeCell ref="J5:K5"/>
    <mergeCell ref="D4:F4"/>
    <mergeCell ref="A2:K2"/>
    <mergeCell ref="J129:K129"/>
    <mergeCell ref="G4:I4"/>
    <mergeCell ref="A4:C4"/>
    <mergeCell ref="A129:G129"/>
    <mergeCell ref="A1:K1"/>
  </mergeCells>
  <dataValidations count="2">
    <dataValidation sqref="A9:A128" showDropDown="0" showInputMessage="0" showErrorMessage="0" allowBlank="1" errorTitle="Invalid Value" error="Please select TRUE (Attended) or FALSE (Excluded)" type="list">
      <formula1>"TRUE,FALSE"</formula1>
    </dataValidation>
    <dataValidation sqref="E9:E128" showDropDown="0" showInputMessage="0" showErrorMessage="0" allowBlank="1" errorTitle="Select Student" error="Please select a registered student" type="list">
      <formula1>"Shadan,Talal,Nawaf,Elyana,Abdullah AlRubiyan"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showGridLines="1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6" customWidth="1" min="2" max="2"/>
    <col width="13" customWidth="1" min="3" max="3"/>
    <col width="12" customWidth="1" min="4" max="4"/>
    <col width="20" customWidth="1" min="5" max="5"/>
    <col width="24" customWidth="1" min="6" max="6"/>
    <col width="13" customWidth="1" min="7" max="7"/>
    <col width="10" customWidth="1" min="8" max="8"/>
    <col width="15" customWidth="1" min="9" max="9"/>
    <col width="45" customWidth="1" min="10" max="10"/>
    <col width="40" customWidth="1" min="11" max="11"/>
  </cols>
  <sheetData>
    <row r="1" ht="26" customHeight="1">
      <c r="A1" s="1" t="inlineStr">
        <is>
          <t>TUTORING TRACKER — 17-OCT DOWNLOADED BASELINE (35 SESSIONS)</t>
        </is>
      </c>
    </row>
    <row r="2" ht="18" customHeight="1">
      <c r="A2" s="2" t="inlineStr">
        <is>
          <t>HOW TO USE: 1) Tick/Untick in Col A to include/exclude. 2) To add a session, just enter Date (Col C), pick Student (Col E), and enter Hours (Col H). Grade, Rate, Total SAR, and Top Cards update automatically!</t>
        </is>
      </c>
    </row>
    <row r="4" ht="20" customHeight="1">
      <c r="A4" s="3" t="inlineStr">
        <is>
          <t>TICKED SESSIONS</t>
        </is>
      </c>
      <c r="B4" s="4" t="n"/>
      <c r="C4" s="4" t="n"/>
      <c r="D4" s="3" t="inlineStr">
        <is>
          <t>TOTAL BILLABLE HOURS</t>
        </is>
      </c>
      <c r="E4" s="4" t="n"/>
      <c r="F4" s="4" t="n"/>
      <c r="G4" s="3" t="inlineStr">
        <is>
          <t>TOTAL BILLABLE AMOUNT (SAR)</t>
        </is>
      </c>
      <c r="H4" s="4" t="n"/>
      <c r="I4" s="4" t="n"/>
      <c r="J4" s="3" t="inlineStr">
        <is>
          <t>EFFECTIVE HOURLY RATE</t>
        </is>
      </c>
      <c r="K4" s="4" t="n"/>
    </row>
    <row r="5" ht="20" customHeight="1">
      <c r="A5" s="5">
        <f>COUNTIF(A9:A108, TRUE)</f>
        <v/>
      </c>
      <c r="B5" s="4" t="n"/>
      <c r="C5" s="4" t="n"/>
      <c r="D5" s="6">
        <f>SUMIF(A9:A108, TRUE, H9:H108)</f>
        <v/>
      </c>
      <c r="E5" s="4" t="n"/>
      <c r="F5" s="4" t="n"/>
      <c r="G5" s="7">
        <f>SUMIF(A9:A108, TRUE, I9:I108)</f>
        <v/>
      </c>
      <c r="H5" s="4" t="n"/>
      <c r="I5" s="4" t="n"/>
      <c r="J5" s="8">
        <f>IF(D5&gt;0, G5/D5, 0)</f>
        <v/>
      </c>
      <c r="K5" s="4" t="n"/>
    </row>
    <row r="7" ht="6" customHeight="1"/>
    <row r="8" ht="24" customHeight="1">
      <c r="A8" s="9" t="inlineStr">
        <is>
          <t>Attended? [✓]</t>
        </is>
      </c>
      <c r="B8" s="9" t="inlineStr">
        <is>
          <t>#</t>
        </is>
      </c>
      <c r="C8" s="9" t="inlineStr">
        <is>
          <t>Date</t>
        </is>
      </c>
      <c r="D8" s="9" t="inlineStr">
        <is>
          <t>Weekday</t>
        </is>
      </c>
      <c r="E8" s="10" t="inlineStr">
        <is>
          <t>Student Name</t>
        </is>
      </c>
      <c r="F8" s="10" t="inlineStr">
        <is>
          <t>Grade / School</t>
        </is>
      </c>
      <c r="G8" s="11" t="inlineStr">
        <is>
          <t>Rate (SAR)</t>
        </is>
      </c>
      <c r="H8" s="9" t="inlineStr">
        <is>
          <t>Hours</t>
        </is>
      </c>
      <c r="I8" s="11" t="inlineStr">
        <is>
          <t>Total (SAR)</t>
        </is>
      </c>
      <c r="J8" s="10" t="inlineStr">
        <is>
          <t>Curriculum / Topic</t>
        </is>
      </c>
      <c r="K8" s="10" t="inlineStr">
        <is>
          <t>Notes / Details</t>
        </is>
      </c>
    </row>
    <row r="9" ht="20" customHeight="1">
      <c r="A9" s="12" t="b">
        <v>1</v>
      </c>
      <c r="B9" s="13" t="n">
        <v>1</v>
      </c>
      <c r="C9" s="13" t="inlineStr">
        <is>
          <t>2026-09-06</t>
        </is>
      </c>
      <c r="D9" s="13" t="inlineStr">
        <is>
          <t>Sunday</t>
        </is>
      </c>
      <c r="E9" s="14" t="inlineStr">
        <is>
          <t>Shadan</t>
        </is>
      </c>
      <c r="F9" s="14" t="inlineStr">
        <is>
          <t>Grade 11A (Girls)</t>
        </is>
      </c>
      <c r="G9" s="15" t="n">
        <v>125</v>
      </c>
      <c r="H9" s="16" t="n">
        <v>2</v>
      </c>
      <c r="I9" s="17">
        <f>IF(AND(H9&lt;&gt;"", G9&lt;&gt;""), H9*G9, "")</f>
        <v/>
      </c>
      <c r="J9" s="14" t="inlineStr">
        <is>
          <t>Setting up Account on ETEC + GAT Warm up</t>
        </is>
      </c>
      <c r="K9" s="14" t="inlineStr">
        <is>
          <t>Setting up Account on ETEC + GAT Warm up</t>
        </is>
      </c>
    </row>
    <row r="10" ht="20" customHeight="1">
      <c r="A10" s="12" t="b">
        <v>1</v>
      </c>
      <c r="B10" s="18" t="n">
        <v>2</v>
      </c>
      <c r="C10" s="18" t="inlineStr">
        <is>
          <t>2026-09-13</t>
        </is>
      </c>
      <c r="D10" s="18" t="inlineStr">
        <is>
          <t>Sunday</t>
        </is>
      </c>
      <c r="E10" s="19" t="inlineStr">
        <is>
          <t>Shadan</t>
        </is>
      </c>
      <c r="F10" s="19" t="inlineStr">
        <is>
          <t>Grade 11A (Girls)</t>
        </is>
      </c>
      <c r="G10" s="20" t="n">
        <v>125</v>
      </c>
      <c r="H10" s="21" t="n">
        <v>2</v>
      </c>
      <c r="I10" s="22">
        <f>IF(AND(H10&lt;&gt;"", G10&lt;&gt;""), H10*G10, "")</f>
        <v/>
      </c>
      <c r="J10" s="19" t="inlineStr">
        <is>
          <t>Shadan: Biology &amp; Lulu: English</t>
        </is>
      </c>
      <c r="K10" s="19" t="inlineStr">
        <is>
          <t>Biology and English tutoring session</t>
        </is>
      </c>
    </row>
    <row r="11" ht="20" customHeight="1">
      <c r="A11" s="12" t="b">
        <v>1</v>
      </c>
      <c r="B11" s="13" t="n">
        <v>3</v>
      </c>
      <c r="C11" s="13" t="inlineStr">
        <is>
          <t>2026-09-14</t>
        </is>
      </c>
      <c r="D11" s="13" t="inlineStr">
        <is>
          <t>Monday</t>
        </is>
      </c>
      <c r="E11" s="14" t="inlineStr">
        <is>
          <t>Talal</t>
        </is>
      </c>
      <c r="F11" s="14" t="inlineStr">
        <is>
          <t>Grade 9B (Boys)</t>
        </is>
      </c>
      <c r="G11" s="15" t="n">
        <v>125</v>
      </c>
      <c r="H11" s="16" t="n">
        <v>1</v>
      </c>
      <c r="I11" s="17">
        <f>IF(AND(H11&lt;&gt;"", G11&lt;&gt;""), H11*G11, "")</f>
        <v/>
      </c>
      <c r="J11" s="14" t="inlineStr">
        <is>
          <t>English for both</t>
        </is>
      </c>
      <c r="K11" s="14" t="inlineStr">
        <is>
          <t>English tutoring session</t>
        </is>
      </c>
    </row>
    <row r="12" ht="20" customHeight="1">
      <c r="A12" s="12" t="b">
        <v>1</v>
      </c>
      <c r="B12" s="18" t="n">
        <v>4</v>
      </c>
      <c r="C12" s="18" t="inlineStr">
        <is>
          <t>2026-09-14</t>
        </is>
      </c>
      <c r="D12" s="18" t="inlineStr">
        <is>
          <t>Monday</t>
        </is>
      </c>
      <c r="E12" s="19" t="inlineStr">
        <is>
          <t>Nawaf</t>
        </is>
      </c>
      <c r="F12" s="19" t="inlineStr">
        <is>
          <t>Grade 9B (Boys)</t>
        </is>
      </c>
      <c r="G12" s="20" t="n">
        <v>125</v>
      </c>
      <c r="H12" s="21" t="n">
        <v>1</v>
      </c>
      <c r="I12" s="22">
        <f>IF(AND(H12&lt;&gt;"", G12&lt;&gt;""), H12*G12, "")</f>
        <v/>
      </c>
      <c r="J12" s="19" t="inlineStr">
        <is>
          <t>English for both</t>
        </is>
      </c>
      <c r="K12" s="19" t="inlineStr">
        <is>
          <t>English tutoring session</t>
        </is>
      </c>
    </row>
    <row r="13" ht="20" customHeight="1">
      <c r="A13" s="12" t="b">
        <v>1</v>
      </c>
      <c r="B13" s="13" t="n">
        <v>5</v>
      </c>
      <c r="C13" s="13" t="inlineStr">
        <is>
          <t>2026-09-16</t>
        </is>
      </c>
      <c r="D13" s="13" t="inlineStr">
        <is>
          <t>Wednesday</t>
        </is>
      </c>
      <c r="E13" s="14" t="inlineStr">
        <is>
          <t>Talal</t>
        </is>
      </c>
      <c r="F13" s="14" t="inlineStr">
        <is>
          <t>Grade 9B (Boys)</t>
        </is>
      </c>
      <c r="G13" s="15" t="n">
        <v>125</v>
      </c>
      <c r="H13" s="16" t="n">
        <v>1</v>
      </c>
      <c r="I13" s="17">
        <f>IF(AND(H13&lt;&gt;"", G13&lt;&gt;""), H13*G13, "")</f>
        <v/>
      </c>
      <c r="J13" s="14" t="inlineStr">
        <is>
          <t>Math for both</t>
        </is>
      </c>
      <c r="K13" s="14" t="inlineStr">
        <is>
          <t>Math tutoring session</t>
        </is>
      </c>
    </row>
    <row r="14" ht="20" customHeight="1">
      <c r="A14" s="12" t="b">
        <v>1</v>
      </c>
      <c r="B14" s="18" t="n">
        <v>6</v>
      </c>
      <c r="C14" s="18" t="inlineStr">
        <is>
          <t>2026-09-16</t>
        </is>
      </c>
      <c r="D14" s="18" t="inlineStr">
        <is>
          <t>Wednesday</t>
        </is>
      </c>
      <c r="E14" s="19" t="inlineStr">
        <is>
          <t>Nawaf</t>
        </is>
      </c>
      <c r="F14" s="19" t="inlineStr">
        <is>
          <t>Grade 9B (Boys)</t>
        </is>
      </c>
      <c r="G14" s="20" t="n">
        <v>125</v>
      </c>
      <c r="H14" s="21" t="n">
        <v>1</v>
      </c>
      <c r="I14" s="22">
        <f>IF(AND(H14&lt;&gt;"", G14&lt;&gt;""), H14*G14, "")</f>
        <v/>
      </c>
      <c r="J14" s="19" t="inlineStr">
        <is>
          <t>Math for both</t>
        </is>
      </c>
      <c r="K14" s="19" t="inlineStr">
        <is>
          <t>Math tutoring session</t>
        </is>
      </c>
    </row>
    <row r="15" ht="20" customHeight="1">
      <c r="A15" s="12" t="b">
        <v>1</v>
      </c>
      <c r="B15" s="13" t="n">
        <v>7</v>
      </c>
      <c r="C15" s="13" t="inlineStr">
        <is>
          <t>2026-09-20</t>
        </is>
      </c>
      <c r="D15" s="13" t="inlineStr">
        <is>
          <t>Sunday</t>
        </is>
      </c>
      <c r="E15" s="14" t="inlineStr">
        <is>
          <t>Shadan</t>
        </is>
      </c>
      <c r="F15" s="14" t="inlineStr">
        <is>
          <t>Grade 11A (Girls)</t>
        </is>
      </c>
      <c r="G15" s="15" t="n">
        <v>125</v>
      </c>
      <c r="H15" s="16" t="n">
        <v>1</v>
      </c>
      <c r="I15" s="17">
        <f>IF(AND(H15&lt;&gt;"", G15&lt;&gt;""), H15*G15, "")</f>
        <v/>
      </c>
      <c r="J15" s="14" t="inlineStr">
        <is>
          <t>Shadan - GAT, Lulu: English</t>
        </is>
      </c>
      <c r="K15" s="14" t="inlineStr">
        <is>
          <t>GAT and English tutoring session</t>
        </is>
      </c>
    </row>
    <row r="16" ht="20" customHeight="1">
      <c r="A16" s="12" t="b">
        <v>1</v>
      </c>
      <c r="B16" s="18" t="n">
        <v>8</v>
      </c>
      <c r="C16" s="18" t="inlineStr">
        <is>
          <t>2026-09-20</t>
        </is>
      </c>
      <c r="D16" s="18" t="inlineStr">
        <is>
          <t>Sunday</t>
        </is>
      </c>
      <c r="E16" s="19" t="inlineStr">
        <is>
          <t>Elyana</t>
        </is>
      </c>
      <c r="F16" s="19" t="inlineStr">
        <is>
          <t>Grade 9A (Girls)</t>
        </is>
      </c>
      <c r="G16" s="20" t="n">
        <v>125</v>
      </c>
      <c r="H16" s="21" t="n">
        <v>1</v>
      </c>
      <c r="I16" s="22">
        <f>IF(AND(H16&lt;&gt;"", G16&lt;&gt;""), H16*G16, "")</f>
        <v/>
      </c>
      <c r="J16" s="19" t="inlineStr">
        <is>
          <t>Shadan - GAT, Lulu: English</t>
        </is>
      </c>
      <c r="K16" s="19" t="inlineStr">
        <is>
          <t>English tutoring session</t>
        </is>
      </c>
    </row>
    <row r="17" ht="20" customHeight="1">
      <c r="A17" s="12" t="b">
        <v>1</v>
      </c>
      <c r="B17" s="13" t="n">
        <v>9</v>
      </c>
      <c r="C17" s="13" t="inlineStr">
        <is>
          <t>2026-09-22</t>
        </is>
      </c>
      <c r="D17" s="13" t="inlineStr">
        <is>
          <t>Tuesday</t>
        </is>
      </c>
      <c r="E17" s="14" t="inlineStr">
        <is>
          <t>Shadan</t>
        </is>
      </c>
      <c r="F17" s="14" t="inlineStr">
        <is>
          <t>Grade 11A (Girls)</t>
        </is>
      </c>
      <c r="G17" s="15" t="n">
        <v>125</v>
      </c>
      <c r="H17" s="16" t="n">
        <v>1</v>
      </c>
      <c r="I17" s="17">
        <f>IF(AND(H17&lt;&gt;"", G17&lt;&gt;""), H17*G17, "")</f>
        <v/>
      </c>
      <c r="J17" s="14" t="inlineStr">
        <is>
          <t>Shadan Math-GAT, Talal Math</t>
        </is>
      </c>
      <c r="K17" s="14" t="inlineStr">
        <is>
          <t>Math and GAT session</t>
        </is>
      </c>
    </row>
    <row r="18" ht="20" customHeight="1">
      <c r="A18" s="12" t="b">
        <v>1</v>
      </c>
      <c r="B18" s="18" t="n">
        <v>10</v>
      </c>
      <c r="C18" s="18" t="inlineStr">
        <is>
          <t>2026-09-22</t>
        </is>
      </c>
      <c r="D18" s="18" t="inlineStr">
        <is>
          <t>Tuesday</t>
        </is>
      </c>
      <c r="E18" s="19" t="inlineStr">
        <is>
          <t>Talal</t>
        </is>
      </c>
      <c r="F18" s="19" t="inlineStr">
        <is>
          <t>Grade 9B (Boys)</t>
        </is>
      </c>
      <c r="G18" s="20" t="n">
        <v>125</v>
      </c>
      <c r="H18" s="21" t="n">
        <v>1</v>
      </c>
      <c r="I18" s="22">
        <f>IF(AND(H18&lt;&gt;"", G18&lt;&gt;""), H18*G18, "")</f>
        <v/>
      </c>
      <c r="J18" s="19" t="inlineStr">
        <is>
          <t>Shadan Math-GAT, Talal Math</t>
        </is>
      </c>
      <c r="K18" s="19" t="inlineStr">
        <is>
          <t>Math session</t>
        </is>
      </c>
    </row>
    <row r="19" ht="20" customHeight="1">
      <c r="A19" s="12" t="b">
        <v>1</v>
      </c>
      <c r="B19" s="13" t="n">
        <v>11</v>
      </c>
      <c r="C19" s="13" t="inlineStr">
        <is>
          <t>2026-09-27</t>
        </is>
      </c>
      <c r="D19" s="13" t="inlineStr">
        <is>
          <t>Sunday</t>
        </is>
      </c>
      <c r="E19" s="14" t="inlineStr">
        <is>
          <t>Talal</t>
        </is>
      </c>
      <c r="F19" s="14" t="inlineStr">
        <is>
          <t>Grade 9B (Boys)</t>
        </is>
      </c>
      <c r="G19" s="15" t="n">
        <v>125</v>
      </c>
      <c r="H19" s="16" t="n">
        <v>1</v>
      </c>
      <c r="I19" s="17">
        <f>IF(AND(H19&lt;&gt;"", G19&lt;&gt;""), H19*G19, "")</f>
        <v/>
      </c>
      <c r="J19" s="14" t="inlineStr">
        <is>
          <t>Grade 9B (Boys) English &amp; Tutoring</t>
        </is>
      </c>
      <c r="K19" s="14" t="inlineStr"/>
    </row>
    <row r="20" ht="20" customHeight="1">
      <c r="A20" s="12" t="b">
        <v>1</v>
      </c>
      <c r="B20" s="18" t="n">
        <v>12</v>
      </c>
      <c r="C20" s="18" t="inlineStr">
        <is>
          <t>2026-09-28</t>
        </is>
      </c>
      <c r="D20" s="18" t="inlineStr">
        <is>
          <t>Monday</t>
        </is>
      </c>
      <c r="E20" s="19" t="inlineStr">
        <is>
          <t>Elyana</t>
        </is>
      </c>
      <c r="F20" s="19" t="inlineStr">
        <is>
          <t>Grade 9A (Girls)</t>
        </is>
      </c>
      <c r="G20" s="20" t="n">
        <v>125</v>
      </c>
      <c r="H20" s="21" t="n">
        <v>1</v>
      </c>
      <c r="I20" s="22">
        <f>IF(AND(H20&lt;&gt;"", G20&lt;&gt;""), H20*G20, "")</f>
        <v/>
      </c>
      <c r="J20" s="19" t="inlineStr">
        <is>
          <t>Grade 9A (Girls) English &amp; Tutoring</t>
        </is>
      </c>
      <c r="K20" s="19" t="inlineStr"/>
    </row>
    <row r="21" ht="20" customHeight="1">
      <c r="A21" s="12" t="b">
        <v>1</v>
      </c>
      <c r="B21" s="13" t="n">
        <v>13</v>
      </c>
      <c r="C21" s="13" t="inlineStr">
        <is>
          <t>2026-09-28</t>
        </is>
      </c>
      <c r="D21" s="13" t="inlineStr">
        <is>
          <t>Monday</t>
        </is>
      </c>
      <c r="E21" s="14" t="inlineStr">
        <is>
          <t>Talal</t>
        </is>
      </c>
      <c r="F21" s="14" t="inlineStr">
        <is>
          <t>Grade 9B (Boys)</t>
        </is>
      </c>
      <c r="G21" s="15" t="n">
        <v>125</v>
      </c>
      <c r="H21" s="16" t="n">
        <v>1</v>
      </c>
      <c r="I21" s="17">
        <f>IF(AND(H21&lt;&gt;"", G21&lt;&gt;""), H21*G21, "")</f>
        <v/>
      </c>
      <c r="J21" s="14" t="inlineStr">
        <is>
          <t>Grade 9B (Boys) English &amp; Tutoring</t>
        </is>
      </c>
      <c r="K21" s="14" t="inlineStr"/>
    </row>
    <row r="22" ht="20" customHeight="1">
      <c r="A22" s="12" t="b">
        <v>1</v>
      </c>
      <c r="B22" s="18" t="n">
        <v>14</v>
      </c>
      <c r="C22" s="18" t="inlineStr">
        <is>
          <t>2026-09-30</t>
        </is>
      </c>
      <c r="D22" s="18" t="inlineStr">
        <is>
          <t>Wednesday</t>
        </is>
      </c>
      <c r="E22" s="19" t="inlineStr">
        <is>
          <t>Abdullah AlRubiyan</t>
        </is>
      </c>
      <c r="F22" s="19" t="inlineStr">
        <is>
          <t>Grade 9 American (MIS)</t>
        </is>
      </c>
      <c r="G22" s="20" t="n">
        <v>150</v>
      </c>
      <c r="H22" s="21" t="n">
        <v>1</v>
      </c>
      <c r="I22" s="22">
        <f>IF(AND(H22&lt;&gt;"", G22&lt;&gt;""), H22*G22, "")</f>
        <v/>
      </c>
      <c r="J22" s="19" t="inlineStr">
        <is>
          <t>Special Tutoring Secondary Prep English &amp; Tutoring</t>
        </is>
      </c>
      <c r="K22" s="19" t="inlineStr"/>
    </row>
    <row r="23" ht="20" customHeight="1">
      <c r="A23" s="12" t="b">
        <v>1</v>
      </c>
      <c r="B23" s="13" t="n">
        <v>15</v>
      </c>
      <c r="C23" s="13" t="inlineStr">
        <is>
          <t>2026-10-03</t>
        </is>
      </c>
      <c r="D23" s="13" t="inlineStr">
        <is>
          <t>Saturday</t>
        </is>
      </c>
      <c r="E23" s="14" t="inlineStr">
        <is>
          <t>Abdullah AlRubiyan</t>
        </is>
      </c>
      <c r="F23" s="14" t="inlineStr">
        <is>
          <t>Grade 9 American (MIS)</t>
        </is>
      </c>
      <c r="G23" s="15" t="n">
        <v>150</v>
      </c>
      <c r="H23" s="16" t="n">
        <v>1</v>
      </c>
      <c r="I23" s="17">
        <f>IF(AND(H23&lt;&gt;"", G23&lt;&gt;""), H23*G23, "")</f>
        <v/>
      </c>
      <c r="J23" s="14" t="inlineStr">
        <is>
          <t>Special Tutoring Secondary Prep English &amp; Tutoring</t>
        </is>
      </c>
      <c r="K23" s="14" t="inlineStr"/>
    </row>
    <row r="24" ht="20" customHeight="1">
      <c r="A24" s="12" t="b">
        <v>1</v>
      </c>
      <c r="B24" s="18" t="n">
        <v>16</v>
      </c>
      <c r="C24" s="18" t="inlineStr">
        <is>
          <t>2026-10-03</t>
        </is>
      </c>
      <c r="D24" s="18" t="inlineStr">
        <is>
          <t>Saturday</t>
        </is>
      </c>
      <c r="E24" s="19" t="inlineStr">
        <is>
          <t>Shadan</t>
        </is>
      </c>
      <c r="F24" s="19" t="inlineStr">
        <is>
          <t>Grade 11A (Girls)</t>
        </is>
      </c>
      <c r="G24" s="20" t="n">
        <v>125</v>
      </c>
      <c r="H24" s="21" t="n">
        <v>1.5</v>
      </c>
      <c r="I24" s="22">
        <f>IF(AND(H24&lt;&gt;"", G24&lt;&gt;""), H24*G24, "")</f>
        <v/>
      </c>
      <c r="J24" s="19" t="inlineStr">
        <is>
          <t>Math: Checkpoint Assessment 1 Revision &amp; Practice</t>
        </is>
      </c>
      <c r="K24" s="19" t="inlineStr"/>
    </row>
    <row r="25" ht="20" customHeight="1">
      <c r="A25" s="12" t="b">
        <v>1</v>
      </c>
      <c r="B25" s="13" t="n">
        <v>17</v>
      </c>
      <c r="C25" s="13" t="inlineStr">
        <is>
          <t>2026-10-03</t>
        </is>
      </c>
      <c r="D25" s="13" t="inlineStr">
        <is>
          <t>Saturday</t>
        </is>
      </c>
      <c r="E25" s="14" t="inlineStr">
        <is>
          <t>Elyana</t>
        </is>
      </c>
      <c r="F25" s="14" t="inlineStr">
        <is>
          <t>Grade 9A (Girls)</t>
        </is>
      </c>
      <c r="G25" s="15" t="n">
        <v>125</v>
      </c>
      <c r="H25" s="16" t="n">
        <v>0.5</v>
      </c>
      <c r="I25" s="17">
        <f>IF(AND(H25&lt;&gt;"", G25&lt;&gt;""), H25*G25, "")</f>
        <v/>
      </c>
      <c r="J25" s="14" t="inlineStr">
        <is>
          <t>Math: Checkpoint 1 Revision: Lesson 1-1 Operations on Real Numbers (pp. 8-19)</t>
        </is>
      </c>
      <c r="K25" s="14" t="inlineStr"/>
    </row>
    <row r="26" ht="20" customHeight="1">
      <c r="A26" s="12" t="b">
        <v>1</v>
      </c>
      <c r="B26" s="18" t="n">
        <v>18</v>
      </c>
      <c r="C26" s="18" t="inlineStr">
        <is>
          <t>2026-10-03</t>
        </is>
      </c>
      <c r="D26" s="18" t="inlineStr">
        <is>
          <t>Saturday</t>
        </is>
      </c>
      <c r="E26" s="19" t="inlineStr">
        <is>
          <t>Talal</t>
        </is>
      </c>
      <c r="F26" s="19" t="inlineStr">
        <is>
          <t>Grade 9B (Boys)</t>
        </is>
      </c>
      <c r="G26" s="20" t="n">
        <v>125</v>
      </c>
      <c r="H26" s="21" t="n">
        <v>0.5</v>
      </c>
      <c r="I26" s="22">
        <f>IF(AND(H26&lt;&gt;"", G26&lt;&gt;""), H26*G26, "")</f>
        <v/>
      </c>
      <c r="J26" s="19" t="inlineStr">
        <is>
          <t>Math: Checkpoint 1 Revision: Lesson 1-1 Operations on Real Numbers (pp. 8-19)</t>
        </is>
      </c>
      <c r="K26" s="19" t="inlineStr"/>
    </row>
    <row r="27" ht="20" customHeight="1">
      <c r="A27" s="12" t="b">
        <v>1</v>
      </c>
      <c r="B27" s="13" t="n">
        <v>19</v>
      </c>
      <c r="C27" s="13" t="inlineStr">
        <is>
          <t>2026-10-03</t>
        </is>
      </c>
      <c r="D27" s="13" t="inlineStr">
        <is>
          <t>Saturday</t>
        </is>
      </c>
      <c r="E27" s="14" t="inlineStr">
        <is>
          <t>Nawaf</t>
        </is>
      </c>
      <c r="F27" s="14" t="inlineStr">
        <is>
          <t>Grade 9B (Boys)</t>
        </is>
      </c>
      <c r="G27" s="15" t="n">
        <v>125</v>
      </c>
      <c r="H27" s="16" t="n">
        <v>0.5</v>
      </c>
      <c r="I27" s="17">
        <f>IF(AND(H27&lt;&gt;"", G27&lt;&gt;""), H27*G27, "")</f>
        <v/>
      </c>
      <c r="J27" s="14" t="inlineStr">
        <is>
          <t>Math: Checkpoint 1 Revision: Lesson 1-1 Operations on Real Numbers (pp. 8-19)</t>
        </is>
      </c>
      <c r="K27" s="14" t="inlineStr"/>
    </row>
    <row r="28" ht="20" customHeight="1">
      <c r="A28" s="12" t="b">
        <v>1</v>
      </c>
      <c r="B28" s="18" t="n">
        <v>20</v>
      </c>
      <c r="C28" s="18" t="inlineStr">
        <is>
          <t>2026-10-05</t>
        </is>
      </c>
      <c r="D28" s="18" t="inlineStr">
        <is>
          <t>Monday</t>
        </is>
      </c>
      <c r="E28" s="19" t="inlineStr">
        <is>
          <t>Shadan</t>
        </is>
      </c>
      <c r="F28" s="19" t="inlineStr">
        <is>
          <t>Grade 11A (Girls)</t>
        </is>
      </c>
      <c r="G28" s="20" t="n">
        <v>125</v>
      </c>
      <c r="H28" s="21" t="n">
        <v>0.5</v>
      </c>
      <c r="I28" s="22">
        <f>IF(AND(H28&lt;&gt;"", G28&lt;&gt;""), H28*G28, "")</f>
        <v/>
      </c>
      <c r="J28" s="19" t="inlineStr">
        <is>
          <t>Grade 11A (Girls) English &amp; Tutoring</t>
        </is>
      </c>
      <c r="K28" s="19" t="inlineStr"/>
    </row>
    <row r="29" ht="20" customHeight="1">
      <c r="A29" s="12" t="b">
        <v>1</v>
      </c>
      <c r="B29" s="13" t="n">
        <v>21</v>
      </c>
      <c r="C29" s="13" t="inlineStr">
        <is>
          <t>2026-10-05</t>
        </is>
      </c>
      <c r="D29" s="13" t="inlineStr">
        <is>
          <t>Monday</t>
        </is>
      </c>
      <c r="E29" s="14" t="inlineStr">
        <is>
          <t>Elyana</t>
        </is>
      </c>
      <c r="F29" s="14" t="inlineStr">
        <is>
          <t>Grade 9A (Girls)</t>
        </is>
      </c>
      <c r="G29" s="15" t="n">
        <v>125</v>
      </c>
      <c r="H29" s="16" t="n">
        <v>0.5</v>
      </c>
      <c r="I29" s="17">
        <f>IF(AND(H29&lt;&gt;"", G29&lt;&gt;""), H29*G29, "")</f>
        <v/>
      </c>
      <c r="J29" s="14" t="inlineStr">
        <is>
          <t>Grade 9A (Girls) English &amp; Tutoring</t>
        </is>
      </c>
      <c r="K29" s="14" t="inlineStr"/>
    </row>
    <row r="30" ht="20" customHeight="1">
      <c r="A30" s="12" t="b">
        <v>1</v>
      </c>
      <c r="B30" s="18" t="n">
        <v>22</v>
      </c>
      <c r="C30" s="18" t="inlineStr">
        <is>
          <t>2026-10-05</t>
        </is>
      </c>
      <c r="D30" s="18" t="inlineStr">
        <is>
          <t>Monday</t>
        </is>
      </c>
      <c r="E30" s="19" t="inlineStr">
        <is>
          <t>Talal</t>
        </is>
      </c>
      <c r="F30" s="19" t="inlineStr">
        <is>
          <t>Grade 9B (Boys)</t>
        </is>
      </c>
      <c r="G30" s="20" t="n">
        <v>125</v>
      </c>
      <c r="H30" s="21" t="n">
        <v>0.5</v>
      </c>
      <c r="I30" s="22">
        <f>IF(AND(H30&lt;&gt;"", G30&lt;&gt;""), H30*G30, "")</f>
        <v/>
      </c>
      <c r="J30" s="19" t="inlineStr">
        <is>
          <t>Grade 9B (Boys) English &amp; Tutoring</t>
        </is>
      </c>
      <c r="K30" s="19" t="inlineStr"/>
    </row>
    <row r="31" ht="20" customHeight="1">
      <c r="A31" s="12" t="b">
        <v>1</v>
      </c>
      <c r="B31" s="13" t="n">
        <v>23</v>
      </c>
      <c r="C31" s="13" t="inlineStr">
        <is>
          <t>2026-10-05</t>
        </is>
      </c>
      <c r="D31" s="13" t="inlineStr">
        <is>
          <t>Monday</t>
        </is>
      </c>
      <c r="E31" s="14" t="inlineStr">
        <is>
          <t>Nawaf</t>
        </is>
      </c>
      <c r="F31" s="14" t="inlineStr">
        <is>
          <t>Grade 9B (Boys)</t>
        </is>
      </c>
      <c r="G31" s="15" t="n">
        <v>125</v>
      </c>
      <c r="H31" s="16" t="n">
        <v>0.5</v>
      </c>
      <c r="I31" s="17">
        <f>IF(AND(H31&lt;&gt;"", G31&lt;&gt;""), H31*G31, "")</f>
        <v/>
      </c>
      <c r="J31" s="14" t="inlineStr">
        <is>
          <t>Grade 9B (Boys) English &amp; Tutoring</t>
        </is>
      </c>
      <c r="K31" s="14" t="inlineStr"/>
    </row>
    <row r="32" ht="20" customHeight="1">
      <c r="A32" s="12" t="b">
        <v>1</v>
      </c>
      <c r="B32" s="18" t="n">
        <v>24</v>
      </c>
      <c r="C32" s="18" t="inlineStr">
        <is>
          <t>2026-10-07</t>
        </is>
      </c>
      <c r="D32" s="18" t="inlineStr">
        <is>
          <t>Wednesday</t>
        </is>
      </c>
      <c r="E32" s="19" t="inlineStr">
        <is>
          <t>Nawaf</t>
        </is>
      </c>
      <c r="F32" s="19" t="inlineStr">
        <is>
          <t>Grade 9B (Boys)</t>
        </is>
      </c>
      <c r="G32" s="20" t="n">
        <v>125</v>
      </c>
      <c r="H32" s="21" t="n">
        <v>1.5</v>
      </c>
      <c r="I32" s="22">
        <f>IF(AND(H32&lt;&gt;"", G32&lt;&gt;""), H32*G32, "")</f>
        <v/>
      </c>
      <c r="J32" s="19" t="inlineStr">
        <is>
          <t>Biology: Revision Volume 1 Unit 1 Lesson 1: Understanding Science &amp; Scientific Inquiry (pp. 6-15)</t>
        </is>
      </c>
      <c r="K32" s="19" t="inlineStr"/>
    </row>
    <row r="33" ht="20" customHeight="1">
      <c r="A33" s="12" t="b">
        <v>1</v>
      </c>
      <c r="B33" s="13" t="n">
        <v>25</v>
      </c>
      <c r="C33" s="13" t="inlineStr">
        <is>
          <t>2026-10-07</t>
        </is>
      </c>
      <c r="D33" s="13" t="inlineStr">
        <is>
          <t>Wednesday</t>
        </is>
      </c>
      <c r="E33" s="14" t="inlineStr">
        <is>
          <t>Elyana</t>
        </is>
      </c>
      <c r="F33" s="14" t="inlineStr">
        <is>
          <t>Grade 9A (Girls)</t>
        </is>
      </c>
      <c r="G33" s="15" t="n">
        <v>125</v>
      </c>
      <c r="H33" s="16" t="n">
        <v>1.5</v>
      </c>
      <c r="I33" s="17">
        <f>IF(AND(H33&lt;&gt;"", G33&lt;&gt;""), H33*G33, "")</f>
        <v/>
      </c>
      <c r="J33" s="14" t="inlineStr">
        <is>
          <t>Biology: Volume 3 Unit 6 Chapter 19 Lesson 2: Types of Viruses &amp; Virus-Targeting Vaccines (pp. 14-17)</t>
        </is>
      </c>
      <c r="K33" s="14" t="inlineStr"/>
    </row>
    <row r="34" ht="20" customHeight="1">
      <c r="A34" s="12" t="b">
        <v>1</v>
      </c>
      <c r="B34" s="18" t="n">
        <v>26</v>
      </c>
      <c r="C34" s="18" t="inlineStr">
        <is>
          <t>2026-10-10</t>
        </is>
      </c>
      <c r="D34" s="18" t="inlineStr">
        <is>
          <t>Saturday</t>
        </is>
      </c>
      <c r="E34" s="19" t="inlineStr">
        <is>
          <t>Shadan</t>
        </is>
      </c>
      <c r="F34" s="19" t="inlineStr">
        <is>
          <t>Grade 11A (Girls)</t>
        </is>
      </c>
      <c r="G34" s="20" t="n">
        <v>125</v>
      </c>
      <c r="H34" s="21" t="n">
        <v>1.5</v>
      </c>
      <c r="I34" s="22">
        <f>IF(AND(H34&lt;&gt;"", G34&lt;&gt;""), H34*G34, "")</f>
        <v/>
      </c>
      <c r="J34" s="19" t="inlineStr">
        <is>
          <t>Physics: Fluid Pressure, Density &amp; Buoyant Forces</t>
        </is>
      </c>
      <c r="K34" s="19" t="inlineStr"/>
    </row>
    <row r="35" ht="20" customHeight="1">
      <c r="A35" s="12" t="b">
        <v>1</v>
      </c>
      <c r="B35" s="13" t="n">
        <v>27</v>
      </c>
      <c r="C35" s="13" t="inlineStr">
        <is>
          <t>2026-10-10</t>
        </is>
      </c>
      <c r="D35" s="13" t="inlineStr">
        <is>
          <t>Saturday</t>
        </is>
      </c>
      <c r="E35" s="14" t="inlineStr">
        <is>
          <t>Nawaf</t>
        </is>
      </c>
      <c r="F35" s="14" t="inlineStr">
        <is>
          <t>Grade 9B (Boys)</t>
        </is>
      </c>
      <c r="G35" s="15" t="n">
        <v>125</v>
      </c>
      <c r="H35" s="16" t="n">
        <v>0.5</v>
      </c>
      <c r="I35" s="17">
        <f>IF(AND(H35&lt;&gt;"", G35&lt;&gt;""), H35*G35, "")</f>
        <v/>
      </c>
      <c r="J35" s="14" t="inlineStr">
        <is>
          <t>Grade 9B (Boys) English &amp; Tutoring</t>
        </is>
      </c>
      <c r="K35" s="14" t="inlineStr"/>
    </row>
    <row r="36" ht="20" customHeight="1">
      <c r="A36" s="12" t="b">
        <v>1</v>
      </c>
      <c r="B36" s="18" t="n">
        <v>28</v>
      </c>
      <c r="C36" s="18" t="inlineStr">
        <is>
          <t>2026-10-10</t>
        </is>
      </c>
      <c r="D36" s="18" t="inlineStr">
        <is>
          <t>Saturday</t>
        </is>
      </c>
      <c r="E36" s="19" t="inlineStr">
        <is>
          <t>Elyana</t>
        </is>
      </c>
      <c r="F36" s="19" t="inlineStr">
        <is>
          <t>Grade 9A (Girls)</t>
        </is>
      </c>
      <c r="G36" s="20" t="n">
        <v>125</v>
      </c>
      <c r="H36" s="21" t="n">
        <v>1</v>
      </c>
      <c r="I36" s="22">
        <f>IF(AND(H36&lt;&gt;"", G36&lt;&gt;""), H36*G36, "")</f>
        <v/>
      </c>
      <c r="J36" s="19" t="inlineStr">
        <is>
          <t>Mid-Term Test: Biology</t>
        </is>
      </c>
      <c r="K36" s="19" t="inlineStr">
        <is>
          <t>Intensive review for Mid-Term Test scheduled on 2026-10-28. Focus on required chapters, problems, and revision sheets.</t>
        </is>
      </c>
    </row>
    <row r="37" ht="20" customHeight="1">
      <c r="A37" s="12" t="b">
        <v>1</v>
      </c>
      <c r="B37" s="13" t="n">
        <v>29</v>
      </c>
      <c r="C37" s="13" t="inlineStr">
        <is>
          <t>2026-10-10</t>
        </is>
      </c>
      <c r="D37" s="13" t="inlineStr">
        <is>
          <t>Saturday</t>
        </is>
      </c>
      <c r="E37" s="14" t="inlineStr">
        <is>
          <t>Talal</t>
        </is>
      </c>
      <c r="F37" s="14" t="inlineStr">
        <is>
          <t>Grade 9B (Boys)</t>
        </is>
      </c>
      <c r="G37" s="15" t="n">
        <v>125</v>
      </c>
      <c r="H37" s="16" t="n">
        <v>1</v>
      </c>
      <c r="I37" s="17">
        <f>IF(AND(H37&lt;&gt;"", G37&lt;&gt;""), H37*G37, "")</f>
        <v/>
      </c>
      <c r="J37" s="14" t="inlineStr">
        <is>
          <t>Mid-Term Test: Biology</t>
        </is>
      </c>
      <c r="K37" s="14" t="inlineStr">
        <is>
          <t>Intensive review for Mid-Term Test scheduled on 2026-10-28. Focus on required chapters, problems, and revision sheets.</t>
        </is>
      </c>
    </row>
    <row r="38" ht="20" customHeight="1">
      <c r="A38" s="12" t="b">
        <v>1</v>
      </c>
      <c r="B38" s="18" t="n">
        <v>30</v>
      </c>
      <c r="C38" s="18" t="inlineStr">
        <is>
          <t>2026-10-10</t>
        </is>
      </c>
      <c r="D38" s="18" t="inlineStr">
        <is>
          <t>Saturday</t>
        </is>
      </c>
      <c r="E38" s="19" t="inlineStr">
        <is>
          <t>Abdullah AlRubiyan</t>
        </is>
      </c>
      <c r="F38" s="19" t="inlineStr">
        <is>
          <t>Grade 9 American (MIS)</t>
        </is>
      </c>
      <c r="G38" s="20" t="n">
        <v>150</v>
      </c>
      <c r="H38" s="21" t="n">
        <v>1</v>
      </c>
      <c r="I38" s="22">
        <f>IF(AND(H38&lt;&gt;"", G38&lt;&gt;""), H38*G38, "")</f>
        <v/>
      </c>
      <c r="J38" s="19" t="inlineStr">
        <is>
          <t>Special Tutoring Secondary Prep English &amp; Tutoring</t>
        </is>
      </c>
      <c r="K38" s="19" t="inlineStr"/>
    </row>
    <row r="39" ht="20" customHeight="1">
      <c r="A39" s="12" t="b">
        <v>1</v>
      </c>
      <c r="B39" s="13" t="n">
        <v>31</v>
      </c>
      <c r="C39" s="13" t="inlineStr">
        <is>
          <t>2026-10-11</t>
        </is>
      </c>
      <c r="D39" s="13" t="inlineStr">
        <is>
          <t>Sunday</t>
        </is>
      </c>
      <c r="E39" s="14" t="inlineStr">
        <is>
          <t>Elyana</t>
        </is>
      </c>
      <c r="F39" s="14" t="inlineStr">
        <is>
          <t>Grade 9A (Girls)</t>
        </is>
      </c>
      <c r="G39" s="15" t="n">
        <v>125</v>
      </c>
      <c r="H39" s="16" t="n">
        <v>0.5</v>
      </c>
      <c r="I39" s="17">
        <f>IF(AND(H39&lt;&gt;"", G39&lt;&gt;""), H39*G39, "")</f>
        <v/>
      </c>
      <c r="J39" s="14" t="inlineStr">
        <is>
          <t>Chemistry: Pure Substances vs Mixtures &amp; Progress Check 1 (p. 50)</t>
        </is>
      </c>
      <c r="K39" s="14" t="inlineStr"/>
    </row>
    <row r="40" ht="20" customHeight="1">
      <c r="A40" s="12" t="b">
        <v>1</v>
      </c>
      <c r="B40" s="18" t="n">
        <v>32</v>
      </c>
      <c r="C40" s="18" t="inlineStr">
        <is>
          <t>2026-10-11</t>
        </is>
      </c>
      <c r="D40" s="18" t="inlineStr">
        <is>
          <t>Sunday</t>
        </is>
      </c>
      <c r="E40" s="19" t="inlineStr">
        <is>
          <t>Talal</t>
        </is>
      </c>
      <c r="F40" s="19" t="inlineStr">
        <is>
          <t>Grade 9B (Boys)</t>
        </is>
      </c>
      <c r="G40" s="20" t="n">
        <v>125</v>
      </c>
      <c r="H40" s="21" t="n">
        <v>0.5</v>
      </c>
      <c r="I40" s="22">
        <f>IF(AND(H40&lt;&gt;"", G40&lt;&gt;""), H40*G40, "")</f>
        <v/>
      </c>
      <c r="J40" s="19" t="inlineStr">
        <is>
          <t>Chemistry: Pure Substances vs Mixtures &amp; Progress Check 1 (p. 50)</t>
        </is>
      </c>
      <c r="K40" s="19" t="inlineStr"/>
    </row>
    <row r="41" ht="20" customHeight="1">
      <c r="A41" s="12" t="b">
        <v>1</v>
      </c>
      <c r="B41" s="13" t="n">
        <v>33</v>
      </c>
      <c r="C41" s="13" t="inlineStr">
        <is>
          <t>2026-10-11</t>
        </is>
      </c>
      <c r="D41" s="13" t="inlineStr">
        <is>
          <t>Sunday</t>
        </is>
      </c>
      <c r="E41" s="14" t="inlineStr">
        <is>
          <t>Nawaf</t>
        </is>
      </c>
      <c r="F41" s="14" t="inlineStr">
        <is>
          <t>Grade 9B (Boys)</t>
        </is>
      </c>
      <c r="G41" s="15" t="n">
        <v>125</v>
      </c>
      <c r="H41" s="16" t="n">
        <v>0.5</v>
      </c>
      <c r="I41" s="17">
        <f>IF(AND(H41&lt;&gt;"", G41&lt;&gt;""), H41*G41, "")</f>
        <v/>
      </c>
      <c r="J41" s="14" t="inlineStr">
        <is>
          <t>Chemistry: Pure Substances vs Mixtures &amp; Progress Check 1 (p. 50)</t>
        </is>
      </c>
      <c r="K41" s="14" t="inlineStr"/>
    </row>
    <row r="42" ht="20" customHeight="1">
      <c r="A42" s="12" t="b">
        <v>1</v>
      </c>
      <c r="B42" s="18" t="n">
        <v>34</v>
      </c>
      <c r="C42" s="18" t="inlineStr">
        <is>
          <t>2026-10-11</t>
        </is>
      </c>
      <c r="D42" s="18" t="inlineStr">
        <is>
          <t>Sunday</t>
        </is>
      </c>
      <c r="E42" s="19" t="inlineStr">
        <is>
          <t>Shadan</t>
        </is>
      </c>
      <c r="F42" s="19" t="inlineStr">
        <is>
          <t>Grade 11A (Girls)</t>
        </is>
      </c>
      <c r="G42" s="20" t="n">
        <v>125</v>
      </c>
      <c r="H42" s="21" t="n">
        <v>1</v>
      </c>
      <c r="I42" s="22">
        <f>IF(AND(H42&lt;&gt;"", G42&lt;&gt;""), H42*G42, "")</f>
        <v/>
      </c>
      <c r="J42" s="19" t="inlineStr">
        <is>
          <t>Chemistry: Calorimetric Calculations &amp; Progress Check 4 (p. 108)</t>
        </is>
      </c>
      <c r="K42" s="19" t="inlineStr"/>
    </row>
    <row r="43" ht="20" customHeight="1">
      <c r="A43" s="12" t="b">
        <v>1</v>
      </c>
      <c r="B43" s="13" t="n">
        <v>35</v>
      </c>
      <c r="C43" s="13" t="inlineStr">
        <is>
          <t>2026-10-17</t>
        </is>
      </c>
      <c r="D43" s="13" t="inlineStr">
        <is>
          <t>Saturday</t>
        </is>
      </c>
      <c r="E43" s="14" t="inlineStr">
        <is>
          <t>Abdullah AlRubiyan</t>
        </is>
      </c>
      <c r="F43" s="14" t="inlineStr">
        <is>
          <t>Grade 9 American (MIS)</t>
        </is>
      </c>
      <c r="G43" s="15" t="n">
        <v>150</v>
      </c>
      <c r="H43" s="16" t="n">
        <v>1</v>
      </c>
      <c r="I43" s="17">
        <f>IF(AND(H43&lt;&gt;"", G43&lt;&gt;""), H43*G43, "")</f>
        <v/>
      </c>
      <c r="J43" s="14" t="inlineStr">
        <is>
          <t>Grade 9 American (MIS) English &amp; Tutoring</t>
        </is>
      </c>
      <c r="K43" s="14" t="inlineStr">
        <is>
          <t>We studied English for the coming English test.</t>
        </is>
      </c>
    </row>
    <row r="44" ht="20" customHeight="1">
      <c r="A44" s="12" t="b">
        <v>1</v>
      </c>
      <c r="B44" s="18">
        <f>IF(C44&lt;&gt;"", ROW()-8, "")</f>
        <v/>
      </c>
      <c r="C44" s="23" t="inlineStr"/>
      <c r="D44" s="18">
        <f>IF(C44&lt;&gt;"", TEXT(C44, "dddd"), "")</f>
        <v/>
      </c>
      <c r="E44" s="24" t="inlineStr"/>
      <c r="F44" s="19">
        <f>IF(E44="Abdullah AlRubiyan", "Grade 9 American (MIS)", IF(E44="Shadan", "Grade 11A (Girls)", IF(E44="Talal", "Grade 9B / 7 (Boys)", IF(E44="Nawaf", "Grade 9B / 5 (Boys)", IF(E44="Elyana", "Grade 9A / 3 (Girls)", "")))))</f>
        <v/>
      </c>
      <c r="G44" s="20">
        <f>IF(E44="Abdullah AlRubiyan", 150, IF(E44&lt;&gt;"", 125, ""))</f>
        <v/>
      </c>
      <c r="H44" s="21" t="inlineStr"/>
      <c r="I44" s="22">
        <f>IF(AND(H44&lt;&gt;"", G44&lt;&gt;""), H44*G44, "")</f>
        <v/>
      </c>
      <c r="J44" s="24" t="inlineStr"/>
      <c r="K44" s="24" t="inlineStr"/>
    </row>
    <row r="45" ht="20" customHeight="1">
      <c r="A45" s="12" t="b">
        <v>1</v>
      </c>
      <c r="B45" s="13">
        <f>IF(C45&lt;&gt;"", ROW()-8, "")</f>
        <v/>
      </c>
      <c r="C45" s="25" t="inlineStr"/>
      <c r="D45" s="13">
        <f>IF(C45&lt;&gt;"", TEXT(C45, "dddd"), "")</f>
        <v/>
      </c>
      <c r="E45" s="26" t="inlineStr"/>
      <c r="F45" s="14">
        <f>IF(E45="Abdullah AlRubiyan", "Grade 9 American (MIS)", IF(E45="Shadan", "Grade 11A (Girls)", IF(E45="Talal", "Grade 9B / 7 (Boys)", IF(E45="Nawaf", "Grade 9B / 5 (Boys)", IF(E45="Elyana", "Grade 9A / 3 (Girls)", "")))))</f>
        <v/>
      </c>
      <c r="G45" s="15">
        <f>IF(E45="Abdullah AlRubiyan", 150, IF(E45&lt;&gt;"", 125, ""))</f>
        <v/>
      </c>
      <c r="H45" s="16" t="inlineStr"/>
      <c r="I45" s="17">
        <f>IF(AND(H45&lt;&gt;"", G45&lt;&gt;""), H45*G45, "")</f>
        <v/>
      </c>
      <c r="J45" s="26" t="inlineStr"/>
      <c r="K45" s="26" t="inlineStr"/>
    </row>
    <row r="46" ht="20" customHeight="1">
      <c r="A46" s="12" t="b">
        <v>1</v>
      </c>
      <c r="B46" s="18">
        <f>IF(C46&lt;&gt;"", ROW()-8, "")</f>
        <v/>
      </c>
      <c r="C46" s="23" t="inlineStr"/>
      <c r="D46" s="18">
        <f>IF(C46&lt;&gt;"", TEXT(C46, "dddd"), "")</f>
        <v/>
      </c>
      <c r="E46" s="24" t="inlineStr"/>
      <c r="F46" s="19">
        <f>IF(E46="Abdullah AlRubiyan", "Grade 9 American (MIS)", IF(E46="Shadan", "Grade 11A (Girls)", IF(E46="Talal", "Grade 9B / 7 (Boys)", IF(E46="Nawaf", "Grade 9B / 5 (Boys)", IF(E46="Elyana", "Grade 9A / 3 (Girls)", "")))))</f>
        <v/>
      </c>
      <c r="G46" s="20">
        <f>IF(E46="Abdullah AlRubiyan", 150, IF(E46&lt;&gt;"", 125, ""))</f>
        <v/>
      </c>
      <c r="H46" s="21" t="inlineStr"/>
      <c r="I46" s="22">
        <f>IF(AND(H46&lt;&gt;"", G46&lt;&gt;""), H46*G46, "")</f>
        <v/>
      </c>
      <c r="J46" s="24" t="inlineStr"/>
      <c r="K46" s="24" t="inlineStr"/>
    </row>
    <row r="47" ht="20" customHeight="1">
      <c r="A47" s="12" t="b">
        <v>1</v>
      </c>
      <c r="B47" s="13">
        <f>IF(C47&lt;&gt;"", ROW()-8, "")</f>
        <v/>
      </c>
      <c r="C47" s="25" t="inlineStr"/>
      <c r="D47" s="13">
        <f>IF(C47&lt;&gt;"", TEXT(C47, "dddd"), "")</f>
        <v/>
      </c>
      <c r="E47" s="26" t="inlineStr"/>
      <c r="F47" s="14">
        <f>IF(E47="Abdullah AlRubiyan", "Grade 9 American (MIS)", IF(E47="Shadan", "Grade 11A (Girls)", IF(E47="Talal", "Grade 9B / 7 (Boys)", IF(E47="Nawaf", "Grade 9B / 5 (Boys)", IF(E47="Elyana", "Grade 9A / 3 (Girls)", "")))))</f>
        <v/>
      </c>
      <c r="G47" s="15">
        <f>IF(E47="Abdullah AlRubiyan", 150, IF(E47&lt;&gt;"", 125, ""))</f>
        <v/>
      </c>
      <c r="H47" s="16" t="inlineStr"/>
      <c r="I47" s="17">
        <f>IF(AND(H47&lt;&gt;"", G47&lt;&gt;""), H47*G47, "")</f>
        <v/>
      </c>
      <c r="J47" s="26" t="inlineStr"/>
      <c r="K47" s="26" t="inlineStr"/>
    </row>
    <row r="48" ht="20" customHeight="1">
      <c r="A48" s="12" t="b">
        <v>1</v>
      </c>
      <c r="B48" s="18">
        <f>IF(C48&lt;&gt;"", ROW()-8, "")</f>
        <v/>
      </c>
      <c r="C48" s="23" t="inlineStr"/>
      <c r="D48" s="18">
        <f>IF(C48&lt;&gt;"", TEXT(C48, "dddd"), "")</f>
        <v/>
      </c>
      <c r="E48" s="24" t="inlineStr"/>
      <c r="F48" s="19">
        <f>IF(E48="Abdullah AlRubiyan", "Grade 9 American (MIS)", IF(E48="Shadan", "Grade 11A (Girls)", IF(E48="Talal", "Grade 9B / 7 (Boys)", IF(E48="Nawaf", "Grade 9B / 5 (Boys)", IF(E48="Elyana", "Grade 9A / 3 (Girls)", "")))))</f>
        <v/>
      </c>
      <c r="G48" s="20">
        <f>IF(E48="Abdullah AlRubiyan", 150, IF(E48&lt;&gt;"", 125, ""))</f>
        <v/>
      </c>
      <c r="H48" s="21" t="inlineStr"/>
      <c r="I48" s="22">
        <f>IF(AND(H48&lt;&gt;"", G48&lt;&gt;""), H48*G48, "")</f>
        <v/>
      </c>
      <c r="J48" s="24" t="inlineStr"/>
      <c r="K48" s="24" t="inlineStr"/>
    </row>
    <row r="49" ht="20" customHeight="1">
      <c r="A49" s="12" t="b">
        <v>1</v>
      </c>
      <c r="B49" s="13">
        <f>IF(C49&lt;&gt;"", ROW()-8, "")</f>
        <v/>
      </c>
      <c r="C49" s="25" t="inlineStr"/>
      <c r="D49" s="13">
        <f>IF(C49&lt;&gt;"", TEXT(C49, "dddd"), "")</f>
        <v/>
      </c>
      <c r="E49" s="26" t="inlineStr"/>
      <c r="F49" s="14">
        <f>IF(E49="Abdullah AlRubiyan", "Grade 9 American (MIS)", IF(E49="Shadan", "Grade 11A (Girls)", IF(E49="Talal", "Grade 9B / 7 (Boys)", IF(E49="Nawaf", "Grade 9B / 5 (Boys)", IF(E49="Elyana", "Grade 9A / 3 (Girls)", "")))))</f>
        <v/>
      </c>
      <c r="G49" s="15">
        <f>IF(E49="Abdullah AlRubiyan", 150, IF(E49&lt;&gt;"", 125, ""))</f>
        <v/>
      </c>
      <c r="H49" s="16" t="inlineStr"/>
      <c r="I49" s="17">
        <f>IF(AND(H49&lt;&gt;"", G49&lt;&gt;""), H49*G49, "")</f>
        <v/>
      </c>
      <c r="J49" s="26" t="inlineStr"/>
      <c r="K49" s="26" t="inlineStr"/>
    </row>
    <row r="50" ht="20" customHeight="1">
      <c r="A50" s="12" t="b">
        <v>1</v>
      </c>
      <c r="B50" s="18">
        <f>IF(C50&lt;&gt;"", ROW()-8, "")</f>
        <v/>
      </c>
      <c r="C50" s="23" t="inlineStr"/>
      <c r="D50" s="18">
        <f>IF(C50&lt;&gt;"", TEXT(C50, "dddd"), "")</f>
        <v/>
      </c>
      <c r="E50" s="24" t="inlineStr"/>
      <c r="F50" s="19">
        <f>IF(E50="Abdullah AlRubiyan", "Grade 9 American (MIS)", IF(E50="Shadan", "Grade 11A (Girls)", IF(E50="Talal", "Grade 9B / 7 (Boys)", IF(E50="Nawaf", "Grade 9B / 5 (Boys)", IF(E50="Elyana", "Grade 9A / 3 (Girls)", "")))))</f>
        <v/>
      </c>
      <c r="G50" s="20">
        <f>IF(E50="Abdullah AlRubiyan", 150, IF(E50&lt;&gt;"", 125, ""))</f>
        <v/>
      </c>
      <c r="H50" s="21" t="inlineStr"/>
      <c r="I50" s="22">
        <f>IF(AND(H50&lt;&gt;"", G50&lt;&gt;""), H50*G50, "")</f>
        <v/>
      </c>
      <c r="J50" s="24" t="inlineStr"/>
      <c r="K50" s="24" t="inlineStr"/>
    </row>
    <row r="51" ht="20" customHeight="1">
      <c r="A51" s="12" t="b">
        <v>1</v>
      </c>
      <c r="B51" s="13">
        <f>IF(C51&lt;&gt;"", ROW()-8, "")</f>
        <v/>
      </c>
      <c r="C51" s="25" t="inlineStr"/>
      <c r="D51" s="13">
        <f>IF(C51&lt;&gt;"", TEXT(C51, "dddd"), "")</f>
        <v/>
      </c>
      <c r="E51" s="26" t="inlineStr"/>
      <c r="F51" s="14">
        <f>IF(E51="Abdullah AlRubiyan", "Grade 9 American (MIS)", IF(E51="Shadan", "Grade 11A (Girls)", IF(E51="Talal", "Grade 9B / 7 (Boys)", IF(E51="Nawaf", "Grade 9B / 5 (Boys)", IF(E51="Elyana", "Grade 9A / 3 (Girls)", "")))))</f>
        <v/>
      </c>
      <c r="G51" s="15">
        <f>IF(E51="Abdullah AlRubiyan", 150, IF(E51&lt;&gt;"", 125, ""))</f>
        <v/>
      </c>
      <c r="H51" s="16" t="inlineStr"/>
      <c r="I51" s="17">
        <f>IF(AND(H51&lt;&gt;"", G51&lt;&gt;""), H51*G51, "")</f>
        <v/>
      </c>
      <c r="J51" s="26" t="inlineStr"/>
      <c r="K51" s="26" t="inlineStr"/>
    </row>
    <row r="52" ht="20" customHeight="1">
      <c r="A52" s="12" t="b">
        <v>1</v>
      </c>
      <c r="B52" s="18">
        <f>IF(C52&lt;&gt;"", ROW()-8, "")</f>
        <v/>
      </c>
      <c r="C52" s="23" t="inlineStr"/>
      <c r="D52" s="18">
        <f>IF(C52&lt;&gt;"", TEXT(C52, "dddd"), "")</f>
        <v/>
      </c>
      <c r="E52" s="24" t="inlineStr"/>
      <c r="F52" s="19">
        <f>IF(E52="Abdullah AlRubiyan", "Grade 9 American (MIS)", IF(E52="Shadan", "Grade 11A (Girls)", IF(E52="Talal", "Grade 9B / 7 (Boys)", IF(E52="Nawaf", "Grade 9B / 5 (Boys)", IF(E52="Elyana", "Grade 9A / 3 (Girls)", "")))))</f>
        <v/>
      </c>
      <c r="G52" s="20">
        <f>IF(E52="Abdullah AlRubiyan", 150, IF(E52&lt;&gt;"", 125, ""))</f>
        <v/>
      </c>
      <c r="H52" s="21" t="inlineStr"/>
      <c r="I52" s="22">
        <f>IF(AND(H52&lt;&gt;"", G52&lt;&gt;""), H52*G52, "")</f>
        <v/>
      </c>
      <c r="J52" s="24" t="inlineStr"/>
      <c r="K52" s="24" t="inlineStr"/>
    </row>
    <row r="53" ht="20" customHeight="1">
      <c r="A53" s="12" t="b">
        <v>1</v>
      </c>
      <c r="B53" s="13">
        <f>IF(C53&lt;&gt;"", ROW()-8, "")</f>
        <v/>
      </c>
      <c r="C53" s="25" t="inlineStr"/>
      <c r="D53" s="13">
        <f>IF(C53&lt;&gt;"", TEXT(C53, "dddd"), "")</f>
        <v/>
      </c>
      <c r="E53" s="26" t="inlineStr"/>
      <c r="F53" s="14">
        <f>IF(E53="Abdullah AlRubiyan", "Grade 9 American (MIS)", IF(E53="Shadan", "Grade 11A (Girls)", IF(E53="Talal", "Grade 9B / 7 (Boys)", IF(E53="Nawaf", "Grade 9B / 5 (Boys)", IF(E53="Elyana", "Grade 9A / 3 (Girls)", "")))))</f>
        <v/>
      </c>
      <c r="G53" s="15">
        <f>IF(E53="Abdullah AlRubiyan", 150, IF(E53&lt;&gt;"", 125, ""))</f>
        <v/>
      </c>
      <c r="H53" s="16" t="inlineStr"/>
      <c r="I53" s="17">
        <f>IF(AND(H53&lt;&gt;"", G53&lt;&gt;""), H53*G53, "")</f>
        <v/>
      </c>
      <c r="J53" s="26" t="inlineStr"/>
      <c r="K53" s="26" t="inlineStr"/>
    </row>
    <row r="54" ht="20" customHeight="1">
      <c r="A54" s="12" t="b">
        <v>1</v>
      </c>
      <c r="B54" s="18">
        <f>IF(C54&lt;&gt;"", ROW()-8, "")</f>
        <v/>
      </c>
      <c r="C54" s="23" t="inlineStr"/>
      <c r="D54" s="18">
        <f>IF(C54&lt;&gt;"", TEXT(C54, "dddd"), "")</f>
        <v/>
      </c>
      <c r="E54" s="24" t="inlineStr"/>
      <c r="F54" s="19">
        <f>IF(E54="Abdullah AlRubiyan", "Grade 9 American (MIS)", IF(E54="Shadan", "Grade 11A (Girls)", IF(E54="Talal", "Grade 9B / 7 (Boys)", IF(E54="Nawaf", "Grade 9B / 5 (Boys)", IF(E54="Elyana", "Grade 9A / 3 (Girls)", "")))))</f>
        <v/>
      </c>
      <c r="G54" s="20">
        <f>IF(E54="Abdullah AlRubiyan", 150, IF(E54&lt;&gt;"", 125, ""))</f>
        <v/>
      </c>
      <c r="H54" s="21" t="inlineStr"/>
      <c r="I54" s="22">
        <f>IF(AND(H54&lt;&gt;"", G54&lt;&gt;""), H54*G54, "")</f>
        <v/>
      </c>
      <c r="J54" s="24" t="inlineStr"/>
      <c r="K54" s="24" t="inlineStr"/>
    </row>
    <row r="55" ht="20" customHeight="1">
      <c r="A55" s="12" t="b">
        <v>1</v>
      </c>
      <c r="B55" s="13">
        <f>IF(C55&lt;&gt;"", ROW()-8, "")</f>
        <v/>
      </c>
      <c r="C55" s="25" t="inlineStr"/>
      <c r="D55" s="13">
        <f>IF(C55&lt;&gt;"", TEXT(C55, "dddd"), "")</f>
        <v/>
      </c>
      <c r="E55" s="26" t="inlineStr"/>
      <c r="F55" s="14">
        <f>IF(E55="Abdullah AlRubiyan", "Grade 9 American (MIS)", IF(E55="Shadan", "Grade 11A (Girls)", IF(E55="Talal", "Grade 9B / 7 (Boys)", IF(E55="Nawaf", "Grade 9B / 5 (Boys)", IF(E55="Elyana", "Grade 9A / 3 (Girls)", "")))))</f>
        <v/>
      </c>
      <c r="G55" s="15">
        <f>IF(E55="Abdullah AlRubiyan", 150, IF(E55&lt;&gt;"", 125, ""))</f>
        <v/>
      </c>
      <c r="H55" s="16" t="inlineStr"/>
      <c r="I55" s="17">
        <f>IF(AND(H55&lt;&gt;"", G55&lt;&gt;""), H55*G55, "")</f>
        <v/>
      </c>
      <c r="J55" s="26" t="inlineStr"/>
      <c r="K55" s="26" t="inlineStr"/>
    </row>
    <row r="56" ht="20" customHeight="1">
      <c r="A56" s="12" t="b">
        <v>1</v>
      </c>
      <c r="B56" s="18">
        <f>IF(C56&lt;&gt;"", ROW()-8, "")</f>
        <v/>
      </c>
      <c r="C56" s="23" t="inlineStr"/>
      <c r="D56" s="18">
        <f>IF(C56&lt;&gt;"", TEXT(C56, "dddd"), "")</f>
        <v/>
      </c>
      <c r="E56" s="24" t="inlineStr"/>
      <c r="F56" s="19">
        <f>IF(E56="Abdullah AlRubiyan", "Grade 9 American (MIS)", IF(E56="Shadan", "Grade 11A (Girls)", IF(E56="Talal", "Grade 9B / 7 (Boys)", IF(E56="Nawaf", "Grade 9B / 5 (Boys)", IF(E56="Elyana", "Grade 9A / 3 (Girls)", "")))))</f>
        <v/>
      </c>
      <c r="G56" s="20">
        <f>IF(E56="Abdullah AlRubiyan", 150, IF(E56&lt;&gt;"", 125, ""))</f>
        <v/>
      </c>
      <c r="H56" s="21" t="inlineStr"/>
      <c r="I56" s="22">
        <f>IF(AND(H56&lt;&gt;"", G56&lt;&gt;""), H56*G56, "")</f>
        <v/>
      </c>
      <c r="J56" s="24" t="inlineStr"/>
      <c r="K56" s="24" t="inlineStr"/>
    </row>
    <row r="57" ht="20" customHeight="1">
      <c r="A57" s="12" t="b">
        <v>1</v>
      </c>
      <c r="B57" s="13">
        <f>IF(C57&lt;&gt;"", ROW()-8, "")</f>
        <v/>
      </c>
      <c r="C57" s="25" t="inlineStr"/>
      <c r="D57" s="13">
        <f>IF(C57&lt;&gt;"", TEXT(C57, "dddd"), "")</f>
        <v/>
      </c>
      <c r="E57" s="26" t="inlineStr"/>
      <c r="F57" s="14">
        <f>IF(E57="Abdullah AlRubiyan", "Grade 9 American (MIS)", IF(E57="Shadan", "Grade 11A (Girls)", IF(E57="Talal", "Grade 9B / 7 (Boys)", IF(E57="Nawaf", "Grade 9B / 5 (Boys)", IF(E57="Elyana", "Grade 9A / 3 (Girls)", "")))))</f>
        <v/>
      </c>
      <c r="G57" s="15">
        <f>IF(E57="Abdullah AlRubiyan", 150, IF(E57&lt;&gt;"", 125, ""))</f>
        <v/>
      </c>
      <c r="H57" s="16" t="inlineStr"/>
      <c r="I57" s="17">
        <f>IF(AND(H57&lt;&gt;"", G57&lt;&gt;""), H57*G57, "")</f>
        <v/>
      </c>
      <c r="J57" s="26" t="inlineStr"/>
      <c r="K57" s="26" t="inlineStr"/>
    </row>
    <row r="58" ht="20" customHeight="1">
      <c r="A58" s="12" t="b">
        <v>1</v>
      </c>
      <c r="B58" s="18">
        <f>IF(C58&lt;&gt;"", ROW()-8, "")</f>
        <v/>
      </c>
      <c r="C58" s="23" t="inlineStr"/>
      <c r="D58" s="18">
        <f>IF(C58&lt;&gt;"", TEXT(C58, "dddd"), "")</f>
        <v/>
      </c>
      <c r="E58" s="24" t="inlineStr"/>
      <c r="F58" s="19">
        <f>IF(E58="Abdullah AlRubiyan", "Grade 9 American (MIS)", IF(E58="Shadan", "Grade 11A (Girls)", IF(E58="Talal", "Grade 9B / 7 (Boys)", IF(E58="Nawaf", "Grade 9B / 5 (Boys)", IF(E58="Elyana", "Grade 9A / 3 (Girls)", "")))))</f>
        <v/>
      </c>
      <c r="G58" s="20">
        <f>IF(E58="Abdullah AlRubiyan", 150, IF(E58&lt;&gt;"", 125, ""))</f>
        <v/>
      </c>
      <c r="H58" s="21" t="inlineStr"/>
      <c r="I58" s="22">
        <f>IF(AND(H58&lt;&gt;"", G58&lt;&gt;""), H58*G58, "")</f>
        <v/>
      </c>
      <c r="J58" s="24" t="inlineStr"/>
      <c r="K58" s="24" t="inlineStr"/>
    </row>
    <row r="59" ht="20" customHeight="1">
      <c r="A59" s="12" t="b">
        <v>1</v>
      </c>
      <c r="B59" s="13">
        <f>IF(C59&lt;&gt;"", ROW()-8, "")</f>
        <v/>
      </c>
      <c r="C59" s="25" t="inlineStr"/>
      <c r="D59" s="13">
        <f>IF(C59&lt;&gt;"", TEXT(C59, "dddd"), "")</f>
        <v/>
      </c>
      <c r="E59" s="26" t="inlineStr"/>
      <c r="F59" s="14">
        <f>IF(E59="Abdullah AlRubiyan", "Grade 9 American (MIS)", IF(E59="Shadan", "Grade 11A (Girls)", IF(E59="Talal", "Grade 9B / 7 (Boys)", IF(E59="Nawaf", "Grade 9B / 5 (Boys)", IF(E59="Elyana", "Grade 9A / 3 (Girls)", "")))))</f>
        <v/>
      </c>
      <c r="G59" s="15">
        <f>IF(E59="Abdullah AlRubiyan", 150, IF(E59&lt;&gt;"", 125, ""))</f>
        <v/>
      </c>
      <c r="H59" s="16" t="inlineStr"/>
      <c r="I59" s="17">
        <f>IF(AND(H59&lt;&gt;"", G59&lt;&gt;""), H59*G59, "")</f>
        <v/>
      </c>
      <c r="J59" s="26" t="inlineStr"/>
      <c r="K59" s="26" t="inlineStr"/>
    </row>
    <row r="60" ht="20" customHeight="1">
      <c r="A60" s="12" t="b">
        <v>1</v>
      </c>
      <c r="B60" s="18">
        <f>IF(C60&lt;&gt;"", ROW()-8, "")</f>
        <v/>
      </c>
      <c r="C60" s="23" t="inlineStr"/>
      <c r="D60" s="18">
        <f>IF(C60&lt;&gt;"", TEXT(C60, "dddd"), "")</f>
        <v/>
      </c>
      <c r="E60" s="24" t="inlineStr"/>
      <c r="F60" s="19">
        <f>IF(E60="Abdullah AlRubiyan", "Grade 9 American (MIS)", IF(E60="Shadan", "Grade 11A (Girls)", IF(E60="Talal", "Grade 9B / 7 (Boys)", IF(E60="Nawaf", "Grade 9B / 5 (Boys)", IF(E60="Elyana", "Grade 9A / 3 (Girls)", "")))))</f>
        <v/>
      </c>
      <c r="G60" s="20">
        <f>IF(E60="Abdullah AlRubiyan", 150, IF(E60&lt;&gt;"", 125, ""))</f>
        <v/>
      </c>
      <c r="H60" s="21" t="inlineStr"/>
      <c r="I60" s="22">
        <f>IF(AND(H60&lt;&gt;"", G60&lt;&gt;""), H60*G60, "")</f>
        <v/>
      </c>
      <c r="J60" s="24" t="inlineStr"/>
      <c r="K60" s="24" t="inlineStr"/>
    </row>
    <row r="61" ht="20" customHeight="1">
      <c r="A61" s="12" t="b">
        <v>1</v>
      </c>
      <c r="B61" s="13">
        <f>IF(C61&lt;&gt;"", ROW()-8, "")</f>
        <v/>
      </c>
      <c r="C61" s="25" t="inlineStr"/>
      <c r="D61" s="13">
        <f>IF(C61&lt;&gt;"", TEXT(C61, "dddd"), "")</f>
        <v/>
      </c>
      <c r="E61" s="26" t="inlineStr"/>
      <c r="F61" s="14">
        <f>IF(E61="Abdullah AlRubiyan", "Grade 9 American (MIS)", IF(E61="Shadan", "Grade 11A (Girls)", IF(E61="Talal", "Grade 9B / 7 (Boys)", IF(E61="Nawaf", "Grade 9B / 5 (Boys)", IF(E61="Elyana", "Grade 9A / 3 (Girls)", "")))))</f>
        <v/>
      </c>
      <c r="G61" s="15">
        <f>IF(E61="Abdullah AlRubiyan", 150, IF(E61&lt;&gt;"", 125, ""))</f>
        <v/>
      </c>
      <c r="H61" s="16" t="inlineStr"/>
      <c r="I61" s="17">
        <f>IF(AND(H61&lt;&gt;"", G61&lt;&gt;""), H61*G61, "")</f>
        <v/>
      </c>
      <c r="J61" s="26" t="inlineStr"/>
      <c r="K61" s="26" t="inlineStr"/>
    </row>
    <row r="62" ht="20" customHeight="1">
      <c r="A62" s="12" t="b">
        <v>1</v>
      </c>
      <c r="B62" s="18">
        <f>IF(C62&lt;&gt;"", ROW()-8, "")</f>
        <v/>
      </c>
      <c r="C62" s="23" t="inlineStr"/>
      <c r="D62" s="18">
        <f>IF(C62&lt;&gt;"", TEXT(C62, "dddd"), "")</f>
        <v/>
      </c>
      <c r="E62" s="24" t="inlineStr"/>
      <c r="F62" s="19">
        <f>IF(E62="Abdullah AlRubiyan", "Grade 9 American (MIS)", IF(E62="Shadan", "Grade 11A (Girls)", IF(E62="Talal", "Grade 9B / 7 (Boys)", IF(E62="Nawaf", "Grade 9B / 5 (Boys)", IF(E62="Elyana", "Grade 9A / 3 (Girls)", "")))))</f>
        <v/>
      </c>
      <c r="G62" s="20">
        <f>IF(E62="Abdullah AlRubiyan", 150, IF(E62&lt;&gt;"", 125, ""))</f>
        <v/>
      </c>
      <c r="H62" s="21" t="inlineStr"/>
      <c r="I62" s="22">
        <f>IF(AND(H62&lt;&gt;"", G62&lt;&gt;""), H62*G62, "")</f>
        <v/>
      </c>
      <c r="J62" s="24" t="inlineStr"/>
      <c r="K62" s="24" t="inlineStr"/>
    </row>
    <row r="63" ht="20" customHeight="1">
      <c r="A63" s="12" t="b">
        <v>1</v>
      </c>
      <c r="B63" s="13">
        <f>IF(C63&lt;&gt;"", ROW()-8, "")</f>
        <v/>
      </c>
      <c r="C63" s="25" t="inlineStr"/>
      <c r="D63" s="13">
        <f>IF(C63&lt;&gt;"", TEXT(C63, "dddd"), "")</f>
        <v/>
      </c>
      <c r="E63" s="26" t="inlineStr"/>
      <c r="F63" s="14">
        <f>IF(E63="Abdullah AlRubiyan", "Grade 9 American (MIS)", IF(E63="Shadan", "Grade 11A (Girls)", IF(E63="Talal", "Grade 9B / 7 (Boys)", IF(E63="Nawaf", "Grade 9B / 5 (Boys)", IF(E63="Elyana", "Grade 9A / 3 (Girls)", "")))))</f>
        <v/>
      </c>
      <c r="G63" s="15">
        <f>IF(E63="Abdullah AlRubiyan", 150, IF(E63&lt;&gt;"", 125, ""))</f>
        <v/>
      </c>
      <c r="H63" s="16" t="inlineStr"/>
      <c r="I63" s="17">
        <f>IF(AND(H63&lt;&gt;"", G63&lt;&gt;""), H63*G63, "")</f>
        <v/>
      </c>
      <c r="J63" s="26" t="inlineStr"/>
      <c r="K63" s="26" t="inlineStr"/>
    </row>
    <row r="64" ht="20" customHeight="1">
      <c r="A64" s="12" t="b">
        <v>1</v>
      </c>
      <c r="B64" s="18">
        <f>IF(C64&lt;&gt;"", ROW()-8, "")</f>
        <v/>
      </c>
      <c r="C64" s="23" t="inlineStr"/>
      <c r="D64" s="18">
        <f>IF(C64&lt;&gt;"", TEXT(C64, "dddd"), "")</f>
        <v/>
      </c>
      <c r="E64" s="24" t="inlineStr"/>
      <c r="F64" s="19">
        <f>IF(E64="Abdullah AlRubiyan", "Grade 9 American (MIS)", IF(E64="Shadan", "Grade 11A (Girls)", IF(E64="Talal", "Grade 9B / 7 (Boys)", IF(E64="Nawaf", "Grade 9B / 5 (Boys)", IF(E64="Elyana", "Grade 9A / 3 (Girls)", "")))))</f>
        <v/>
      </c>
      <c r="G64" s="20">
        <f>IF(E64="Abdullah AlRubiyan", 150, IF(E64&lt;&gt;"", 125, ""))</f>
        <v/>
      </c>
      <c r="H64" s="21" t="inlineStr"/>
      <c r="I64" s="22">
        <f>IF(AND(H64&lt;&gt;"", G64&lt;&gt;""), H64*G64, "")</f>
        <v/>
      </c>
      <c r="J64" s="24" t="inlineStr"/>
      <c r="K64" s="24" t="inlineStr"/>
    </row>
    <row r="65" ht="20" customHeight="1">
      <c r="A65" s="12" t="b">
        <v>1</v>
      </c>
      <c r="B65" s="13">
        <f>IF(C65&lt;&gt;"", ROW()-8, "")</f>
        <v/>
      </c>
      <c r="C65" s="25" t="inlineStr"/>
      <c r="D65" s="13">
        <f>IF(C65&lt;&gt;"", TEXT(C65, "dddd"), "")</f>
        <v/>
      </c>
      <c r="E65" s="26" t="inlineStr"/>
      <c r="F65" s="14">
        <f>IF(E65="Abdullah AlRubiyan", "Grade 9 American (MIS)", IF(E65="Shadan", "Grade 11A (Girls)", IF(E65="Talal", "Grade 9B / 7 (Boys)", IF(E65="Nawaf", "Grade 9B / 5 (Boys)", IF(E65="Elyana", "Grade 9A / 3 (Girls)", "")))))</f>
        <v/>
      </c>
      <c r="G65" s="15">
        <f>IF(E65="Abdullah AlRubiyan", 150, IF(E65&lt;&gt;"", 125, ""))</f>
        <v/>
      </c>
      <c r="H65" s="16" t="inlineStr"/>
      <c r="I65" s="17">
        <f>IF(AND(H65&lt;&gt;"", G65&lt;&gt;""), H65*G65, "")</f>
        <v/>
      </c>
      <c r="J65" s="26" t="inlineStr"/>
      <c r="K65" s="26" t="inlineStr"/>
    </row>
    <row r="66" ht="20" customHeight="1">
      <c r="A66" s="12" t="b">
        <v>1</v>
      </c>
      <c r="B66" s="18">
        <f>IF(C66&lt;&gt;"", ROW()-8, "")</f>
        <v/>
      </c>
      <c r="C66" s="23" t="inlineStr"/>
      <c r="D66" s="18">
        <f>IF(C66&lt;&gt;"", TEXT(C66, "dddd"), "")</f>
        <v/>
      </c>
      <c r="E66" s="24" t="inlineStr"/>
      <c r="F66" s="19">
        <f>IF(E66="Abdullah AlRubiyan", "Grade 9 American (MIS)", IF(E66="Shadan", "Grade 11A (Girls)", IF(E66="Talal", "Grade 9B / 7 (Boys)", IF(E66="Nawaf", "Grade 9B / 5 (Boys)", IF(E66="Elyana", "Grade 9A / 3 (Girls)", "")))))</f>
        <v/>
      </c>
      <c r="G66" s="20">
        <f>IF(E66="Abdullah AlRubiyan", 150, IF(E66&lt;&gt;"", 125, ""))</f>
        <v/>
      </c>
      <c r="H66" s="21" t="inlineStr"/>
      <c r="I66" s="22">
        <f>IF(AND(H66&lt;&gt;"", G66&lt;&gt;""), H66*G66, "")</f>
        <v/>
      </c>
      <c r="J66" s="24" t="inlineStr"/>
      <c r="K66" s="24" t="inlineStr"/>
    </row>
    <row r="67" ht="20" customHeight="1">
      <c r="A67" s="12" t="b">
        <v>1</v>
      </c>
      <c r="B67" s="13">
        <f>IF(C67&lt;&gt;"", ROW()-8, "")</f>
        <v/>
      </c>
      <c r="C67" s="25" t="inlineStr"/>
      <c r="D67" s="13">
        <f>IF(C67&lt;&gt;"", TEXT(C67, "dddd"), "")</f>
        <v/>
      </c>
      <c r="E67" s="26" t="inlineStr"/>
      <c r="F67" s="14">
        <f>IF(E67="Abdullah AlRubiyan", "Grade 9 American (MIS)", IF(E67="Shadan", "Grade 11A (Girls)", IF(E67="Talal", "Grade 9B / 7 (Boys)", IF(E67="Nawaf", "Grade 9B / 5 (Boys)", IF(E67="Elyana", "Grade 9A / 3 (Girls)", "")))))</f>
        <v/>
      </c>
      <c r="G67" s="15">
        <f>IF(E67="Abdullah AlRubiyan", 150, IF(E67&lt;&gt;"", 125, ""))</f>
        <v/>
      </c>
      <c r="H67" s="16" t="inlineStr"/>
      <c r="I67" s="17">
        <f>IF(AND(H67&lt;&gt;"", G67&lt;&gt;""), H67*G67, "")</f>
        <v/>
      </c>
      <c r="J67" s="26" t="inlineStr"/>
      <c r="K67" s="26" t="inlineStr"/>
    </row>
    <row r="68" ht="20" customHeight="1">
      <c r="A68" s="12" t="b">
        <v>1</v>
      </c>
      <c r="B68" s="18">
        <f>IF(C68&lt;&gt;"", ROW()-8, "")</f>
        <v/>
      </c>
      <c r="C68" s="23" t="inlineStr"/>
      <c r="D68" s="18">
        <f>IF(C68&lt;&gt;"", TEXT(C68, "dddd"), "")</f>
        <v/>
      </c>
      <c r="E68" s="24" t="inlineStr"/>
      <c r="F68" s="19">
        <f>IF(E68="Abdullah AlRubiyan", "Grade 9 American (MIS)", IF(E68="Shadan", "Grade 11A (Girls)", IF(E68="Talal", "Grade 9B / 7 (Boys)", IF(E68="Nawaf", "Grade 9B / 5 (Boys)", IF(E68="Elyana", "Grade 9A / 3 (Girls)", "")))))</f>
        <v/>
      </c>
      <c r="G68" s="20">
        <f>IF(E68="Abdullah AlRubiyan", 150, IF(E68&lt;&gt;"", 125, ""))</f>
        <v/>
      </c>
      <c r="H68" s="21" t="inlineStr"/>
      <c r="I68" s="22">
        <f>IF(AND(H68&lt;&gt;"", G68&lt;&gt;""), H68*G68, "")</f>
        <v/>
      </c>
      <c r="J68" s="24" t="inlineStr"/>
      <c r="K68" s="24" t="inlineStr"/>
    </row>
    <row r="69" ht="20" customHeight="1">
      <c r="A69" s="12" t="b">
        <v>1</v>
      </c>
      <c r="B69" s="13">
        <f>IF(C69&lt;&gt;"", ROW()-8, "")</f>
        <v/>
      </c>
      <c r="C69" s="25" t="inlineStr"/>
      <c r="D69" s="13">
        <f>IF(C69&lt;&gt;"", TEXT(C69, "dddd"), "")</f>
        <v/>
      </c>
      <c r="E69" s="26" t="inlineStr"/>
      <c r="F69" s="14">
        <f>IF(E69="Abdullah AlRubiyan", "Grade 9 American (MIS)", IF(E69="Shadan", "Grade 11A (Girls)", IF(E69="Talal", "Grade 9B / 7 (Boys)", IF(E69="Nawaf", "Grade 9B / 5 (Boys)", IF(E69="Elyana", "Grade 9A / 3 (Girls)", "")))))</f>
        <v/>
      </c>
      <c r="G69" s="15">
        <f>IF(E69="Abdullah AlRubiyan", 150, IF(E69&lt;&gt;"", 125, ""))</f>
        <v/>
      </c>
      <c r="H69" s="16" t="inlineStr"/>
      <c r="I69" s="17">
        <f>IF(AND(H69&lt;&gt;"", G69&lt;&gt;""), H69*G69, "")</f>
        <v/>
      </c>
      <c r="J69" s="26" t="inlineStr"/>
      <c r="K69" s="26" t="inlineStr"/>
    </row>
    <row r="70" ht="20" customHeight="1">
      <c r="A70" s="12" t="b">
        <v>1</v>
      </c>
      <c r="B70" s="18">
        <f>IF(C70&lt;&gt;"", ROW()-8, "")</f>
        <v/>
      </c>
      <c r="C70" s="23" t="inlineStr"/>
      <c r="D70" s="18">
        <f>IF(C70&lt;&gt;"", TEXT(C70, "dddd"), "")</f>
        <v/>
      </c>
      <c r="E70" s="24" t="inlineStr"/>
      <c r="F70" s="19">
        <f>IF(E70="Abdullah AlRubiyan", "Grade 9 American (MIS)", IF(E70="Shadan", "Grade 11A (Girls)", IF(E70="Talal", "Grade 9B / 7 (Boys)", IF(E70="Nawaf", "Grade 9B / 5 (Boys)", IF(E70="Elyana", "Grade 9A / 3 (Girls)", "")))))</f>
        <v/>
      </c>
      <c r="G70" s="20">
        <f>IF(E70="Abdullah AlRubiyan", 150, IF(E70&lt;&gt;"", 125, ""))</f>
        <v/>
      </c>
      <c r="H70" s="21" t="inlineStr"/>
      <c r="I70" s="22">
        <f>IF(AND(H70&lt;&gt;"", G70&lt;&gt;""), H70*G70, "")</f>
        <v/>
      </c>
      <c r="J70" s="24" t="inlineStr"/>
      <c r="K70" s="24" t="inlineStr"/>
    </row>
    <row r="71" ht="20" customHeight="1">
      <c r="A71" s="12" t="b">
        <v>1</v>
      </c>
      <c r="B71" s="13">
        <f>IF(C71&lt;&gt;"", ROW()-8, "")</f>
        <v/>
      </c>
      <c r="C71" s="25" t="inlineStr"/>
      <c r="D71" s="13">
        <f>IF(C71&lt;&gt;"", TEXT(C71, "dddd"), "")</f>
        <v/>
      </c>
      <c r="E71" s="26" t="inlineStr"/>
      <c r="F71" s="14">
        <f>IF(E71="Abdullah AlRubiyan", "Grade 9 American (MIS)", IF(E71="Shadan", "Grade 11A (Girls)", IF(E71="Talal", "Grade 9B / 7 (Boys)", IF(E71="Nawaf", "Grade 9B / 5 (Boys)", IF(E71="Elyana", "Grade 9A / 3 (Girls)", "")))))</f>
        <v/>
      </c>
      <c r="G71" s="15">
        <f>IF(E71="Abdullah AlRubiyan", 150, IF(E71&lt;&gt;"", 125, ""))</f>
        <v/>
      </c>
      <c r="H71" s="16" t="inlineStr"/>
      <c r="I71" s="17">
        <f>IF(AND(H71&lt;&gt;"", G71&lt;&gt;""), H71*G71, "")</f>
        <v/>
      </c>
      <c r="J71" s="26" t="inlineStr"/>
      <c r="K71" s="26" t="inlineStr"/>
    </row>
    <row r="72" ht="20" customHeight="1">
      <c r="A72" s="12" t="b">
        <v>1</v>
      </c>
      <c r="B72" s="18">
        <f>IF(C72&lt;&gt;"", ROW()-8, "")</f>
        <v/>
      </c>
      <c r="C72" s="23" t="inlineStr"/>
      <c r="D72" s="18">
        <f>IF(C72&lt;&gt;"", TEXT(C72, "dddd"), "")</f>
        <v/>
      </c>
      <c r="E72" s="24" t="inlineStr"/>
      <c r="F72" s="19">
        <f>IF(E72="Abdullah AlRubiyan", "Grade 9 American (MIS)", IF(E72="Shadan", "Grade 11A (Girls)", IF(E72="Talal", "Grade 9B / 7 (Boys)", IF(E72="Nawaf", "Grade 9B / 5 (Boys)", IF(E72="Elyana", "Grade 9A / 3 (Girls)", "")))))</f>
        <v/>
      </c>
      <c r="G72" s="20">
        <f>IF(E72="Abdullah AlRubiyan", 150, IF(E72&lt;&gt;"", 125, ""))</f>
        <v/>
      </c>
      <c r="H72" s="21" t="inlineStr"/>
      <c r="I72" s="22">
        <f>IF(AND(H72&lt;&gt;"", G72&lt;&gt;""), H72*G72, "")</f>
        <v/>
      </c>
      <c r="J72" s="24" t="inlineStr"/>
      <c r="K72" s="24" t="inlineStr"/>
    </row>
    <row r="73" ht="20" customHeight="1">
      <c r="A73" s="12" t="b">
        <v>1</v>
      </c>
      <c r="B73" s="13">
        <f>IF(C73&lt;&gt;"", ROW()-8, "")</f>
        <v/>
      </c>
      <c r="C73" s="25" t="inlineStr"/>
      <c r="D73" s="13">
        <f>IF(C73&lt;&gt;"", TEXT(C73, "dddd"), "")</f>
        <v/>
      </c>
      <c r="E73" s="26" t="inlineStr"/>
      <c r="F73" s="14">
        <f>IF(E73="Abdullah AlRubiyan", "Grade 9 American (MIS)", IF(E73="Shadan", "Grade 11A (Girls)", IF(E73="Talal", "Grade 9B / 7 (Boys)", IF(E73="Nawaf", "Grade 9B / 5 (Boys)", IF(E73="Elyana", "Grade 9A / 3 (Girls)", "")))))</f>
        <v/>
      </c>
      <c r="G73" s="15">
        <f>IF(E73="Abdullah AlRubiyan", 150, IF(E73&lt;&gt;"", 125, ""))</f>
        <v/>
      </c>
      <c r="H73" s="16" t="inlineStr"/>
      <c r="I73" s="17">
        <f>IF(AND(H73&lt;&gt;"", G73&lt;&gt;""), H73*G73, "")</f>
        <v/>
      </c>
      <c r="J73" s="26" t="inlineStr"/>
      <c r="K73" s="26" t="inlineStr"/>
    </row>
    <row r="74" ht="20" customHeight="1">
      <c r="A74" s="12" t="b">
        <v>1</v>
      </c>
      <c r="B74" s="18">
        <f>IF(C74&lt;&gt;"", ROW()-8, "")</f>
        <v/>
      </c>
      <c r="C74" s="23" t="inlineStr"/>
      <c r="D74" s="18">
        <f>IF(C74&lt;&gt;"", TEXT(C74, "dddd"), "")</f>
        <v/>
      </c>
      <c r="E74" s="24" t="inlineStr"/>
      <c r="F74" s="19">
        <f>IF(E74="Abdullah AlRubiyan", "Grade 9 American (MIS)", IF(E74="Shadan", "Grade 11A (Girls)", IF(E74="Talal", "Grade 9B / 7 (Boys)", IF(E74="Nawaf", "Grade 9B / 5 (Boys)", IF(E74="Elyana", "Grade 9A / 3 (Girls)", "")))))</f>
        <v/>
      </c>
      <c r="G74" s="20">
        <f>IF(E74="Abdullah AlRubiyan", 150, IF(E74&lt;&gt;"", 125, ""))</f>
        <v/>
      </c>
      <c r="H74" s="21" t="inlineStr"/>
      <c r="I74" s="22">
        <f>IF(AND(H74&lt;&gt;"", G74&lt;&gt;""), H74*G74, "")</f>
        <v/>
      </c>
      <c r="J74" s="24" t="inlineStr"/>
      <c r="K74" s="24" t="inlineStr"/>
    </row>
    <row r="75" ht="20" customHeight="1">
      <c r="A75" s="12" t="b">
        <v>1</v>
      </c>
      <c r="B75" s="13">
        <f>IF(C75&lt;&gt;"", ROW()-8, "")</f>
        <v/>
      </c>
      <c r="C75" s="25" t="inlineStr"/>
      <c r="D75" s="13">
        <f>IF(C75&lt;&gt;"", TEXT(C75, "dddd"), "")</f>
        <v/>
      </c>
      <c r="E75" s="26" t="inlineStr"/>
      <c r="F75" s="14">
        <f>IF(E75="Abdullah AlRubiyan", "Grade 9 American (MIS)", IF(E75="Shadan", "Grade 11A (Girls)", IF(E75="Talal", "Grade 9B / 7 (Boys)", IF(E75="Nawaf", "Grade 9B / 5 (Boys)", IF(E75="Elyana", "Grade 9A / 3 (Girls)", "")))))</f>
        <v/>
      </c>
      <c r="G75" s="15">
        <f>IF(E75="Abdullah AlRubiyan", 150, IF(E75&lt;&gt;"", 125, ""))</f>
        <v/>
      </c>
      <c r="H75" s="16" t="inlineStr"/>
      <c r="I75" s="17">
        <f>IF(AND(H75&lt;&gt;"", G75&lt;&gt;""), H75*G75, "")</f>
        <v/>
      </c>
      <c r="J75" s="26" t="inlineStr"/>
      <c r="K75" s="26" t="inlineStr"/>
    </row>
    <row r="76" ht="20" customHeight="1">
      <c r="A76" s="12" t="b">
        <v>1</v>
      </c>
      <c r="B76" s="18">
        <f>IF(C76&lt;&gt;"", ROW()-8, "")</f>
        <v/>
      </c>
      <c r="C76" s="23" t="inlineStr"/>
      <c r="D76" s="18">
        <f>IF(C76&lt;&gt;"", TEXT(C76, "dddd"), "")</f>
        <v/>
      </c>
      <c r="E76" s="24" t="inlineStr"/>
      <c r="F76" s="19">
        <f>IF(E76="Abdullah AlRubiyan", "Grade 9 American (MIS)", IF(E76="Shadan", "Grade 11A (Girls)", IF(E76="Talal", "Grade 9B / 7 (Boys)", IF(E76="Nawaf", "Grade 9B / 5 (Boys)", IF(E76="Elyana", "Grade 9A / 3 (Girls)", "")))))</f>
        <v/>
      </c>
      <c r="G76" s="20">
        <f>IF(E76="Abdullah AlRubiyan", 150, IF(E76&lt;&gt;"", 125, ""))</f>
        <v/>
      </c>
      <c r="H76" s="21" t="inlineStr"/>
      <c r="I76" s="22">
        <f>IF(AND(H76&lt;&gt;"", G76&lt;&gt;""), H76*G76, "")</f>
        <v/>
      </c>
      <c r="J76" s="24" t="inlineStr"/>
      <c r="K76" s="24" t="inlineStr"/>
    </row>
    <row r="77" ht="20" customHeight="1">
      <c r="A77" s="12" t="b">
        <v>1</v>
      </c>
      <c r="B77" s="13">
        <f>IF(C77&lt;&gt;"", ROW()-8, "")</f>
        <v/>
      </c>
      <c r="C77" s="25" t="inlineStr"/>
      <c r="D77" s="13">
        <f>IF(C77&lt;&gt;"", TEXT(C77, "dddd"), "")</f>
        <v/>
      </c>
      <c r="E77" s="26" t="inlineStr"/>
      <c r="F77" s="14">
        <f>IF(E77="Abdullah AlRubiyan", "Grade 9 American (MIS)", IF(E77="Shadan", "Grade 11A (Girls)", IF(E77="Talal", "Grade 9B / 7 (Boys)", IF(E77="Nawaf", "Grade 9B / 5 (Boys)", IF(E77="Elyana", "Grade 9A / 3 (Girls)", "")))))</f>
        <v/>
      </c>
      <c r="G77" s="15">
        <f>IF(E77="Abdullah AlRubiyan", 150, IF(E77&lt;&gt;"", 125, ""))</f>
        <v/>
      </c>
      <c r="H77" s="16" t="inlineStr"/>
      <c r="I77" s="17">
        <f>IF(AND(H77&lt;&gt;"", G77&lt;&gt;""), H77*G77, "")</f>
        <v/>
      </c>
      <c r="J77" s="26" t="inlineStr"/>
      <c r="K77" s="26" t="inlineStr"/>
    </row>
    <row r="78" ht="20" customHeight="1">
      <c r="A78" s="12" t="b">
        <v>1</v>
      </c>
      <c r="B78" s="18">
        <f>IF(C78&lt;&gt;"", ROW()-8, "")</f>
        <v/>
      </c>
      <c r="C78" s="23" t="inlineStr"/>
      <c r="D78" s="18">
        <f>IF(C78&lt;&gt;"", TEXT(C78, "dddd"), "")</f>
        <v/>
      </c>
      <c r="E78" s="24" t="inlineStr"/>
      <c r="F78" s="19">
        <f>IF(E78="Abdullah AlRubiyan", "Grade 9 American (MIS)", IF(E78="Shadan", "Grade 11A (Girls)", IF(E78="Talal", "Grade 9B / 7 (Boys)", IF(E78="Nawaf", "Grade 9B / 5 (Boys)", IF(E78="Elyana", "Grade 9A / 3 (Girls)", "")))))</f>
        <v/>
      </c>
      <c r="G78" s="20">
        <f>IF(E78="Abdullah AlRubiyan", 150, IF(E78&lt;&gt;"", 125, ""))</f>
        <v/>
      </c>
      <c r="H78" s="21" t="inlineStr"/>
      <c r="I78" s="22">
        <f>IF(AND(H78&lt;&gt;"", G78&lt;&gt;""), H78*G78, "")</f>
        <v/>
      </c>
      <c r="J78" s="24" t="inlineStr"/>
      <c r="K78" s="24" t="inlineStr"/>
    </row>
    <row r="79" ht="20" customHeight="1">
      <c r="A79" s="12" t="b">
        <v>1</v>
      </c>
      <c r="B79" s="13">
        <f>IF(C79&lt;&gt;"", ROW()-8, "")</f>
        <v/>
      </c>
      <c r="C79" s="25" t="inlineStr"/>
      <c r="D79" s="13">
        <f>IF(C79&lt;&gt;"", TEXT(C79, "dddd"), "")</f>
        <v/>
      </c>
      <c r="E79" s="26" t="inlineStr"/>
      <c r="F79" s="14">
        <f>IF(E79="Abdullah AlRubiyan", "Grade 9 American (MIS)", IF(E79="Shadan", "Grade 11A (Girls)", IF(E79="Talal", "Grade 9B / 7 (Boys)", IF(E79="Nawaf", "Grade 9B / 5 (Boys)", IF(E79="Elyana", "Grade 9A / 3 (Girls)", "")))))</f>
        <v/>
      </c>
      <c r="G79" s="15">
        <f>IF(E79="Abdullah AlRubiyan", 150, IF(E79&lt;&gt;"", 125, ""))</f>
        <v/>
      </c>
      <c r="H79" s="16" t="inlineStr"/>
      <c r="I79" s="17">
        <f>IF(AND(H79&lt;&gt;"", G79&lt;&gt;""), H79*G79, "")</f>
        <v/>
      </c>
      <c r="J79" s="26" t="inlineStr"/>
      <c r="K79" s="26" t="inlineStr"/>
    </row>
    <row r="80" ht="20" customHeight="1">
      <c r="A80" s="12" t="b">
        <v>1</v>
      </c>
      <c r="B80" s="18">
        <f>IF(C80&lt;&gt;"", ROW()-8, "")</f>
        <v/>
      </c>
      <c r="C80" s="23" t="inlineStr"/>
      <c r="D80" s="18">
        <f>IF(C80&lt;&gt;"", TEXT(C80, "dddd"), "")</f>
        <v/>
      </c>
      <c r="E80" s="24" t="inlineStr"/>
      <c r="F80" s="19">
        <f>IF(E80="Abdullah AlRubiyan", "Grade 9 American (MIS)", IF(E80="Shadan", "Grade 11A (Girls)", IF(E80="Talal", "Grade 9B / 7 (Boys)", IF(E80="Nawaf", "Grade 9B / 5 (Boys)", IF(E80="Elyana", "Grade 9A / 3 (Girls)", "")))))</f>
        <v/>
      </c>
      <c r="G80" s="20">
        <f>IF(E80="Abdullah AlRubiyan", 150, IF(E80&lt;&gt;"", 125, ""))</f>
        <v/>
      </c>
      <c r="H80" s="21" t="inlineStr"/>
      <c r="I80" s="22">
        <f>IF(AND(H80&lt;&gt;"", G80&lt;&gt;""), H80*G80, "")</f>
        <v/>
      </c>
      <c r="J80" s="24" t="inlineStr"/>
      <c r="K80" s="24" t="inlineStr"/>
    </row>
    <row r="81" ht="20" customHeight="1">
      <c r="A81" s="12" t="b">
        <v>1</v>
      </c>
      <c r="B81" s="13">
        <f>IF(C81&lt;&gt;"", ROW()-8, "")</f>
        <v/>
      </c>
      <c r="C81" s="25" t="inlineStr"/>
      <c r="D81" s="13">
        <f>IF(C81&lt;&gt;"", TEXT(C81, "dddd"), "")</f>
        <v/>
      </c>
      <c r="E81" s="26" t="inlineStr"/>
      <c r="F81" s="14">
        <f>IF(E81="Abdullah AlRubiyan", "Grade 9 American (MIS)", IF(E81="Shadan", "Grade 11A (Girls)", IF(E81="Talal", "Grade 9B / 7 (Boys)", IF(E81="Nawaf", "Grade 9B / 5 (Boys)", IF(E81="Elyana", "Grade 9A / 3 (Girls)", "")))))</f>
        <v/>
      </c>
      <c r="G81" s="15">
        <f>IF(E81="Abdullah AlRubiyan", 150, IF(E81&lt;&gt;"", 125, ""))</f>
        <v/>
      </c>
      <c r="H81" s="16" t="inlineStr"/>
      <c r="I81" s="17">
        <f>IF(AND(H81&lt;&gt;"", G81&lt;&gt;""), H81*G81, "")</f>
        <v/>
      </c>
      <c r="J81" s="26" t="inlineStr"/>
      <c r="K81" s="26" t="inlineStr"/>
    </row>
    <row r="82" ht="20" customHeight="1">
      <c r="A82" s="12" t="b">
        <v>1</v>
      </c>
      <c r="B82" s="18">
        <f>IF(C82&lt;&gt;"", ROW()-8, "")</f>
        <v/>
      </c>
      <c r="C82" s="23" t="inlineStr"/>
      <c r="D82" s="18">
        <f>IF(C82&lt;&gt;"", TEXT(C82, "dddd"), "")</f>
        <v/>
      </c>
      <c r="E82" s="24" t="inlineStr"/>
      <c r="F82" s="19">
        <f>IF(E82="Abdullah AlRubiyan", "Grade 9 American (MIS)", IF(E82="Shadan", "Grade 11A (Girls)", IF(E82="Talal", "Grade 9B / 7 (Boys)", IF(E82="Nawaf", "Grade 9B / 5 (Boys)", IF(E82="Elyana", "Grade 9A / 3 (Girls)", "")))))</f>
        <v/>
      </c>
      <c r="G82" s="20">
        <f>IF(E82="Abdullah AlRubiyan", 150, IF(E82&lt;&gt;"", 125, ""))</f>
        <v/>
      </c>
      <c r="H82" s="21" t="inlineStr"/>
      <c r="I82" s="22">
        <f>IF(AND(H82&lt;&gt;"", G82&lt;&gt;""), H82*G82, "")</f>
        <v/>
      </c>
      <c r="J82" s="24" t="inlineStr"/>
      <c r="K82" s="24" t="inlineStr"/>
    </row>
    <row r="83" ht="20" customHeight="1">
      <c r="A83" s="12" t="b">
        <v>1</v>
      </c>
      <c r="B83" s="13">
        <f>IF(C83&lt;&gt;"", ROW()-8, "")</f>
        <v/>
      </c>
      <c r="C83" s="25" t="inlineStr"/>
      <c r="D83" s="13">
        <f>IF(C83&lt;&gt;"", TEXT(C83, "dddd"), "")</f>
        <v/>
      </c>
      <c r="E83" s="26" t="inlineStr"/>
      <c r="F83" s="14">
        <f>IF(E83="Abdullah AlRubiyan", "Grade 9 American (MIS)", IF(E83="Shadan", "Grade 11A (Girls)", IF(E83="Talal", "Grade 9B / 7 (Boys)", IF(E83="Nawaf", "Grade 9B / 5 (Boys)", IF(E83="Elyana", "Grade 9A / 3 (Girls)", "")))))</f>
        <v/>
      </c>
      <c r="G83" s="15">
        <f>IF(E83="Abdullah AlRubiyan", 150, IF(E83&lt;&gt;"", 125, ""))</f>
        <v/>
      </c>
      <c r="H83" s="16" t="inlineStr"/>
      <c r="I83" s="17">
        <f>IF(AND(H83&lt;&gt;"", G83&lt;&gt;""), H83*G83, "")</f>
        <v/>
      </c>
      <c r="J83" s="26" t="inlineStr"/>
      <c r="K83" s="26" t="inlineStr"/>
    </row>
    <row r="84" ht="20" customHeight="1">
      <c r="A84" s="12" t="b">
        <v>1</v>
      </c>
      <c r="B84" s="18">
        <f>IF(C84&lt;&gt;"", ROW()-8, "")</f>
        <v/>
      </c>
      <c r="C84" s="23" t="inlineStr"/>
      <c r="D84" s="18">
        <f>IF(C84&lt;&gt;"", TEXT(C84, "dddd"), "")</f>
        <v/>
      </c>
      <c r="E84" s="24" t="inlineStr"/>
      <c r="F84" s="19">
        <f>IF(E84="Abdullah AlRubiyan", "Grade 9 American (MIS)", IF(E84="Shadan", "Grade 11A (Girls)", IF(E84="Talal", "Grade 9B / 7 (Boys)", IF(E84="Nawaf", "Grade 9B / 5 (Boys)", IF(E84="Elyana", "Grade 9A / 3 (Girls)", "")))))</f>
        <v/>
      </c>
      <c r="G84" s="20">
        <f>IF(E84="Abdullah AlRubiyan", 150, IF(E84&lt;&gt;"", 125, ""))</f>
        <v/>
      </c>
      <c r="H84" s="21" t="inlineStr"/>
      <c r="I84" s="22">
        <f>IF(AND(H84&lt;&gt;"", G84&lt;&gt;""), H84*G84, "")</f>
        <v/>
      </c>
      <c r="J84" s="24" t="inlineStr"/>
      <c r="K84" s="24" t="inlineStr"/>
    </row>
    <row r="85" ht="20" customHeight="1">
      <c r="A85" s="12" t="b">
        <v>1</v>
      </c>
      <c r="B85" s="13">
        <f>IF(C85&lt;&gt;"", ROW()-8, "")</f>
        <v/>
      </c>
      <c r="C85" s="25" t="inlineStr"/>
      <c r="D85" s="13">
        <f>IF(C85&lt;&gt;"", TEXT(C85, "dddd"), "")</f>
        <v/>
      </c>
      <c r="E85" s="26" t="inlineStr"/>
      <c r="F85" s="14">
        <f>IF(E85="Abdullah AlRubiyan", "Grade 9 American (MIS)", IF(E85="Shadan", "Grade 11A (Girls)", IF(E85="Talal", "Grade 9B / 7 (Boys)", IF(E85="Nawaf", "Grade 9B / 5 (Boys)", IF(E85="Elyana", "Grade 9A / 3 (Girls)", "")))))</f>
        <v/>
      </c>
      <c r="G85" s="15">
        <f>IF(E85="Abdullah AlRubiyan", 150, IF(E85&lt;&gt;"", 125, ""))</f>
        <v/>
      </c>
      <c r="H85" s="16" t="inlineStr"/>
      <c r="I85" s="17">
        <f>IF(AND(H85&lt;&gt;"", G85&lt;&gt;""), H85*G85, "")</f>
        <v/>
      </c>
      <c r="J85" s="26" t="inlineStr"/>
      <c r="K85" s="26" t="inlineStr"/>
    </row>
    <row r="86" ht="20" customHeight="1">
      <c r="A86" s="12" t="b">
        <v>1</v>
      </c>
      <c r="B86" s="18">
        <f>IF(C86&lt;&gt;"", ROW()-8, "")</f>
        <v/>
      </c>
      <c r="C86" s="23" t="inlineStr"/>
      <c r="D86" s="18">
        <f>IF(C86&lt;&gt;"", TEXT(C86, "dddd"), "")</f>
        <v/>
      </c>
      <c r="E86" s="24" t="inlineStr"/>
      <c r="F86" s="19">
        <f>IF(E86="Abdullah AlRubiyan", "Grade 9 American (MIS)", IF(E86="Shadan", "Grade 11A (Girls)", IF(E86="Talal", "Grade 9B / 7 (Boys)", IF(E86="Nawaf", "Grade 9B / 5 (Boys)", IF(E86="Elyana", "Grade 9A / 3 (Girls)", "")))))</f>
        <v/>
      </c>
      <c r="G86" s="20">
        <f>IF(E86="Abdullah AlRubiyan", 150, IF(E86&lt;&gt;"", 125, ""))</f>
        <v/>
      </c>
      <c r="H86" s="21" t="inlineStr"/>
      <c r="I86" s="22">
        <f>IF(AND(H86&lt;&gt;"", G86&lt;&gt;""), H86*G86, "")</f>
        <v/>
      </c>
      <c r="J86" s="24" t="inlineStr"/>
      <c r="K86" s="24" t="inlineStr"/>
    </row>
    <row r="87" ht="20" customHeight="1">
      <c r="A87" s="12" t="b">
        <v>1</v>
      </c>
      <c r="B87" s="13">
        <f>IF(C87&lt;&gt;"", ROW()-8, "")</f>
        <v/>
      </c>
      <c r="C87" s="25" t="inlineStr"/>
      <c r="D87" s="13">
        <f>IF(C87&lt;&gt;"", TEXT(C87, "dddd"), "")</f>
        <v/>
      </c>
      <c r="E87" s="26" t="inlineStr"/>
      <c r="F87" s="14">
        <f>IF(E87="Abdullah AlRubiyan", "Grade 9 American (MIS)", IF(E87="Shadan", "Grade 11A (Girls)", IF(E87="Talal", "Grade 9B / 7 (Boys)", IF(E87="Nawaf", "Grade 9B / 5 (Boys)", IF(E87="Elyana", "Grade 9A / 3 (Girls)", "")))))</f>
        <v/>
      </c>
      <c r="G87" s="15">
        <f>IF(E87="Abdullah AlRubiyan", 150, IF(E87&lt;&gt;"", 125, ""))</f>
        <v/>
      </c>
      <c r="H87" s="16" t="inlineStr"/>
      <c r="I87" s="17">
        <f>IF(AND(H87&lt;&gt;"", G87&lt;&gt;""), H87*G87, "")</f>
        <v/>
      </c>
      <c r="J87" s="26" t="inlineStr"/>
      <c r="K87" s="26" t="inlineStr"/>
    </row>
    <row r="88" ht="20" customHeight="1">
      <c r="A88" s="12" t="b">
        <v>1</v>
      </c>
      <c r="B88" s="18">
        <f>IF(C88&lt;&gt;"", ROW()-8, "")</f>
        <v/>
      </c>
      <c r="C88" s="23" t="inlineStr"/>
      <c r="D88" s="18">
        <f>IF(C88&lt;&gt;"", TEXT(C88, "dddd"), "")</f>
        <v/>
      </c>
      <c r="E88" s="24" t="inlineStr"/>
      <c r="F88" s="19">
        <f>IF(E88="Abdullah AlRubiyan", "Grade 9 American (MIS)", IF(E88="Shadan", "Grade 11A (Girls)", IF(E88="Talal", "Grade 9B / 7 (Boys)", IF(E88="Nawaf", "Grade 9B / 5 (Boys)", IF(E88="Elyana", "Grade 9A / 3 (Girls)", "")))))</f>
        <v/>
      </c>
      <c r="G88" s="20">
        <f>IF(E88="Abdullah AlRubiyan", 150, IF(E88&lt;&gt;"", 125, ""))</f>
        <v/>
      </c>
      <c r="H88" s="21" t="inlineStr"/>
      <c r="I88" s="22">
        <f>IF(AND(H88&lt;&gt;"", G88&lt;&gt;""), H88*G88, "")</f>
        <v/>
      </c>
      <c r="J88" s="24" t="inlineStr"/>
      <c r="K88" s="24" t="inlineStr"/>
    </row>
    <row r="89" ht="20" customHeight="1">
      <c r="A89" s="12" t="b">
        <v>1</v>
      </c>
      <c r="B89" s="13">
        <f>IF(C89&lt;&gt;"", ROW()-8, "")</f>
        <v/>
      </c>
      <c r="C89" s="25" t="inlineStr"/>
      <c r="D89" s="13">
        <f>IF(C89&lt;&gt;"", TEXT(C89, "dddd"), "")</f>
        <v/>
      </c>
      <c r="E89" s="26" t="inlineStr"/>
      <c r="F89" s="14">
        <f>IF(E89="Abdullah AlRubiyan", "Grade 9 American (MIS)", IF(E89="Shadan", "Grade 11A (Girls)", IF(E89="Talal", "Grade 9B / 7 (Boys)", IF(E89="Nawaf", "Grade 9B / 5 (Boys)", IF(E89="Elyana", "Grade 9A / 3 (Girls)", "")))))</f>
        <v/>
      </c>
      <c r="G89" s="15">
        <f>IF(E89="Abdullah AlRubiyan", 150, IF(E89&lt;&gt;"", 125, ""))</f>
        <v/>
      </c>
      <c r="H89" s="16" t="inlineStr"/>
      <c r="I89" s="17">
        <f>IF(AND(H89&lt;&gt;"", G89&lt;&gt;""), H89*G89, "")</f>
        <v/>
      </c>
      <c r="J89" s="26" t="inlineStr"/>
      <c r="K89" s="26" t="inlineStr"/>
    </row>
    <row r="90" ht="20" customHeight="1">
      <c r="A90" s="12" t="b">
        <v>1</v>
      </c>
      <c r="B90" s="18">
        <f>IF(C90&lt;&gt;"", ROW()-8, "")</f>
        <v/>
      </c>
      <c r="C90" s="23" t="inlineStr"/>
      <c r="D90" s="18">
        <f>IF(C90&lt;&gt;"", TEXT(C90, "dddd"), "")</f>
        <v/>
      </c>
      <c r="E90" s="24" t="inlineStr"/>
      <c r="F90" s="19">
        <f>IF(E90="Abdullah AlRubiyan", "Grade 9 American (MIS)", IF(E90="Shadan", "Grade 11A (Girls)", IF(E90="Talal", "Grade 9B / 7 (Boys)", IF(E90="Nawaf", "Grade 9B / 5 (Boys)", IF(E90="Elyana", "Grade 9A / 3 (Girls)", "")))))</f>
        <v/>
      </c>
      <c r="G90" s="20">
        <f>IF(E90="Abdullah AlRubiyan", 150, IF(E90&lt;&gt;"", 125, ""))</f>
        <v/>
      </c>
      <c r="H90" s="21" t="inlineStr"/>
      <c r="I90" s="22">
        <f>IF(AND(H90&lt;&gt;"", G90&lt;&gt;""), H90*G90, "")</f>
        <v/>
      </c>
      <c r="J90" s="24" t="inlineStr"/>
      <c r="K90" s="24" t="inlineStr"/>
    </row>
    <row r="91" ht="20" customHeight="1">
      <c r="A91" s="12" t="b">
        <v>1</v>
      </c>
      <c r="B91" s="13">
        <f>IF(C91&lt;&gt;"", ROW()-8, "")</f>
        <v/>
      </c>
      <c r="C91" s="25" t="inlineStr"/>
      <c r="D91" s="13">
        <f>IF(C91&lt;&gt;"", TEXT(C91, "dddd"), "")</f>
        <v/>
      </c>
      <c r="E91" s="26" t="inlineStr"/>
      <c r="F91" s="14">
        <f>IF(E91="Abdullah AlRubiyan", "Grade 9 American (MIS)", IF(E91="Shadan", "Grade 11A (Girls)", IF(E91="Talal", "Grade 9B / 7 (Boys)", IF(E91="Nawaf", "Grade 9B / 5 (Boys)", IF(E91="Elyana", "Grade 9A / 3 (Girls)", "")))))</f>
        <v/>
      </c>
      <c r="G91" s="15">
        <f>IF(E91="Abdullah AlRubiyan", 150, IF(E91&lt;&gt;"", 125, ""))</f>
        <v/>
      </c>
      <c r="H91" s="16" t="inlineStr"/>
      <c r="I91" s="17">
        <f>IF(AND(H91&lt;&gt;"", G91&lt;&gt;""), H91*G91, "")</f>
        <v/>
      </c>
      <c r="J91" s="26" t="inlineStr"/>
      <c r="K91" s="26" t="inlineStr"/>
    </row>
    <row r="92" ht="20" customHeight="1">
      <c r="A92" s="12" t="b">
        <v>1</v>
      </c>
      <c r="B92" s="18">
        <f>IF(C92&lt;&gt;"", ROW()-8, "")</f>
        <v/>
      </c>
      <c r="C92" s="23" t="inlineStr"/>
      <c r="D92" s="18">
        <f>IF(C92&lt;&gt;"", TEXT(C92, "dddd"), "")</f>
        <v/>
      </c>
      <c r="E92" s="24" t="inlineStr"/>
      <c r="F92" s="19">
        <f>IF(E92="Abdullah AlRubiyan", "Grade 9 American (MIS)", IF(E92="Shadan", "Grade 11A (Girls)", IF(E92="Talal", "Grade 9B / 7 (Boys)", IF(E92="Nawaf", "Grade 9B / 5 (Boys)", IF(E92="Elyana", "Grade 9A / 3 (Girls)", "")))))</f>
        <v/>
      </c>
      <c r="G92" s="20">
        <f>IF(E92="Abdullah AlRubiyan", 150, IF(E92&lt;&gt;"", 125, ""))</f>
        <v/>
      </c>
      <c r="H92" s="21" t="inlineStr"/>
      <c r="I92" s="22">
        <f>IF(AND(H92&lt;&gt;"", G92&lt;&gt;""), H92*G92, "")</f>
        <v/>
      </c>
      <c r="J92" s="24" t="inlineStr"/>
      <c r="K92" s="24" t="inlineStr"/>
    </row>
    <row r="93" ht="20" customHeight="1">
      <c r="A93" s="12" t="b">
        <v>1</v>
      </c>
      <c r="B93" s="13">
        <f>IF(C93&lt;&gt;"", ROW()-8, "")</f>
        <v/>
      </c>
      <c r="C93" s="25" t="inlineStr"/>
      <c r="D93" s="13">
        <f>IF(C93&lt;&gt;"", TEXT(C93, "dddd"), "")</f>
        <v/>
      </c>
      <c r="E93" s="26" t="inlineStr"/>
      <c r="F93" s="14">
        <f>IF(E93="Abdullah AlRubiyan", "Grade 9 American (MIS)", IF(E93="Shadan", "Grade 11A (Girls)", IF(E93="Talal", "Grade 9B / 7 (Boys)", IF(E93="Nawaf", "Grade 9B / 5 (Boys)", IF(E93="Elyana", "Grade 9A / 3 (Girls)", "")))))</f>
        <v/>
      </c>
      <c r="G93" s="15">
        <f>IF(E93="Abdullah AlRubiyan", 150, IF(E93&lt;&gt;"", 125, ""))</f>
        <v/>
      </c>
      <c r="H93" s="16" t="inlineStr"/>
      <c r="I93" s="17">
        <f>IF(AND(H93&lt;&gt;"", G93&lt;&gt;""), H93*G93, "")</f>
        <v/>
      </c>
      <c r="J93" s="26" t="inlineStr"/>
      <c r="K93" s="26" t="inlineStr"/>
    </row>
    <row r="94" ht="20" customHeight="1">
      <c r="A94" s="12" t="b">
        <v>1</v>
      </c>
      <c r="B94" s="18">
        <f>IF(C94&lt;&gt;"", ROW()-8, "")</f>
        <v/>
      </c>
      <c r="C94" s="23" t="inlineStr"/>
      <c r="D94" s="18">
        <f>IF(C94&lt;&gt;"", TEXT(C94, "dddd"), "")</f>
        <v/>
      </c>
      <c r="E94" s="24" t="inlineStr"/>
      <c r="F94" s="19">
        <f>IF(E94="Abdullah AlRubiyan", "Grade 9 American (MIS)", IF(E94="Shadan", "Grade 11A (Girls)", IF(E94="Talal", "Grade 9B / 7 (Boys)", IF(E94="Nawaf", "Grade 9B / 5 (Boys)", IF(E94="Elyana", "Grade 9A / 3 (Girls)", "")))))</f>
        <v/>
      </c>
      <c r="G94" s="20">
        <f>IF(E94="Abdullah AlRubiyan", 150, IF(E94&lt;&gt;"", 125, ""))</f>
        <v/>
      </c>
      <c r="H94" s="21" t="inlineStr"/>
      <c r="I94" s="22">
        <f>IF(AND(H94&lt;&gt;"", G94&lt;&gt;""), H94*G94, "")</f>
        <v/>
      </c>
      <c r="J94" s="24" t="inlineStr"/>
      <c r="K94" s="24" t="inlineStr"/>
    </row>
    <row r="95" ht="20" customHeight="1">
      <c r="A95" s="12" t="b">
        <v>1</v>
      </c>
      <c r="B95" s="13">
        <f>IF(C95&lt;&gt;"", ROW()-8, "")</f>
        <v/>
      </c>
      <c r="C95" s="25" t="inlineStr"/>
      <c r="D95" s="13">
        <f>IF(C95&lt;&gt;"", TEXT(C95, "dddd"), "")</f>
        <v/>
      </c>
      <c r="E95" s="26" t="inlineStr"/>
      <c r="F95" s="14">
        <f>IF(E95="Abdullah AlRubiyan", "Grade 9 American (MIS)", IF(E95="Shadan", "Grade 11A (Girls)", IF(E95="Talal", "Grade 9B / 7 (Boys)", IF(E95="Nawaf", "Grade 9B / 5 (Boys)", IF(E95="Elyana", "Grade 9A / 3 (Girls)", "")))))</f>
        <v/>
      </c>
      <c r="G95" s="15">
        <f>IF(E95="Abdullah AlRubiyan", 150, IF(E95&lt;&gt;"", 125, ""))</f>
        <v/>
      </c>
      <c r="H95" s="16" t="inlineStr"/>
      <c r="I95" s="17">
        <f>IF(AND(H95&lt;&gt;"", G95&lt;&gt;""), H95*G95, "")</f>
        <v/>
      </c>
      <c r="J95" s="26" t="inlineStr"/>
      <c r="K95" s="26" t="inlineStr"/>
    </row>
    <row r="96" ht="20" customHeight="1">
      <c r="A96" s="12" t="b">
        <v>1</v>
      </c>
      <c r="B96" s="18">
        <f>IF(C96&lt;&gt;"", ROW()-8, "")</f>
        <v/>
      </c>
      <c r="C96" s="23" t="inlineStr"/>
      <c r="D96" s="18">
        <f>IF(C96&lt;&gt;"", TEXT(C96, "dddd"), "")</f>
        <v/>
      </c>
      <c r="E96" s="24" t="inlineStr"/>
      <c r="F96" s="19">
        <f>IF(E96="Abdullah AlRubiyan", "Grade 9 American (MIS)", IF(E96="Shadan", "Grade 11A (Girls)", IF(E96="Talal", "Grade 9B / 7 (Boys)", IF(E96="Nawaf", "Grade 9B / 5 (Boys)", IF(E96="Elyana", "Grade 9A / 3 (Girls)", "")))))</f>
        <v/>
      </c>
      <c r="G96" s="20">
        <f>IF(E96="Abdullah AlRubiyan", 150, IF(E96&lt;&gt;"", 125, ""))</f>
        <v/>
      </c>
      <c r="H96" s="21" t="inlineStr"/>
      <c r="I96" s="22">
        <f>IF(AND(H96&lt;&gt;"", G96&lt;&gt;""), H96*G96, "")</f>
        <v/>
      </c>
      <c r="J96" s="24" t="inlineStr"/>
      <c r="K96" s="24" t="inlineStr"/>
    </row>
    <row r="97" ht="20" customHeight="1">
      <c r="A97" s="12" t="b">
        <v>1</v>
      </c>
      <c r="B97" s="13">
        <f>IF(C97&lt;&gt;"", ROW()-8, "")</f>
        <v/>
      </c>
      <c r="C97" s="25" t="inlineStr"/>
      <c r="D97" s="13">
        <f>IF(C97&lt;&gt;"", TEXT(C97, "dddd"), "")</f>
        <v/>
      </c>
      <c r="E97" s="26" t="inlineStr"/>
      <c r="F97" s="14">
        <f>IF(E97="Abdullah AlRubiyan", "Grade 9 American (MIS)", IF(E97="Shadan", "Grade 11A (Girls)", IF(E97="Talal", "Grade 9B / 7 (Boys)", IF(E97="Nawaf", "Grade 9B / 5 (Boys)", IF(E97="Elyana", "Grade 9A / 3 (Girls)", "")))))</f>
        <v/>
      </c>
      <c r="G97" s="15">
        <f>IF(E97="Abdullah AlRubiyan", 150, IF(E97&lt;&gt;"", 125, ""))</f>
        <v/>
      </c>
      <c r="H97" s="16" t="inlineStr"/>
      <c r="I97" s="17">
        <f>IF(AND(H97&lt;&gt;"", G97&lt;&gt;""), H97*G97, "")</f>
        <v/>
      </c>
      <c r="J97" s="26" t="inlineStr"/>
      <c r="K97" s="26" t="inlineStr"/>
    </row>
    <row r="98" ht="20" customHeight="1">
      <c r="A98" s="12" t="b">
        <v>1</v>
      </c>
      <c r="B98" s="18">
        <f>IF(C98&lt;&gt;"", ROW()-8, "")</f>
        <v/>
      </c>
      <c r="C98" s="23" t="inlineStr"/>
      <c r="D98" s="18">
        <f>IF(C98&lt;&gt;"", TEXT(C98, "dddd"), "")</f>
        <v/>
      </c>
      <c r="E98" s="24" t="inlineStr"/>
      <c r="F98" s="19">
        <f>IF(E98="Abdullah AlRubiyan", "Grade 9 American (MIS)", IF(E98="Shadan", "Grade 11A (Girls)", IF(E98="Talal", "Grade 9B / 7 (Boys)", IF(E98="Nawaf", "Grade 9B / 5 (Boys)", IF(E98="Elyana", "Grade 9A / 3 (Girls)", "")))))</f>
        <v/>
      </c>
      <c r="G98" s="20">
        <f>IF(E98="Abdullah AlRubiyan", 150, IF(E98&lt;&gt;"", 125, ""))</f>
        <v/>
      </c>
      <c r="H98" s="21" t="inlineStr"/>
      <c r="I98" s="22">
        <f>IF(AND(H98&lt;&gt;"", G98&lt;&gt;""), H98*G98, "")</f>
        <v/>
      </c>
      <c r="J98" s="24" t="inlineStr"/>
      <c r="K98" s="24" t="inlineStr"/>
    </row>
    <row r="99" ht="20" customHeight="1">
      <c r="A99" s="12" t="b">
        <v>1</v>
      </c>
      <c r="B99" s="13">
        <f>IF(C99&lt;&gt;"", ROW()-8, "")</f>
        <v/>
      </c>
      <c r="C99" s="25" t="inlineStr"/>
      <c r="D99" s="13">
        <f>IF(C99&lt;&gt;"", TEXT(C99, "dddd"), "")</f>
        <v/>
      </c>
      <c r="E99" s="26" t="inlineStr"/>
      <c r="F99" s="14">
        <f>IF(E99="Abdullah AlRubiyan", "Grade 9 American (MIS)", IF(E99="Shadan", "Grade 11A (Girls)", IF(E99="Talal", "Grade 9B / 7 (Boys)", IF(E99="Nawaf", "Grade 9B / 5 (Boys)", IF(E99="Elyana", "Grade 9A / 3 (Girls)", "")))))</f>
        <v/>
      </c>
      <c r="G99" s="15">
        <f>IF(E99="Abdullah AlRubiyan", 150, IF(E99&lt;&gt;"", 125, ""))</f>
        <v/>
      </c>
      <c r="H99" s="16" t="inlineStr"/>
      <c r="I99" s="17">
        <f>IF(AND(H99&lt;&gt;"", G99&lt;&gt;""), H99*G99, "")</f>
        <v/>
      </c>
      <c r="J99" s="26" t="inlineStr"/>
      <c r="K99" s="26" t="inlineStr"/>
    </row>
    <row r="100" ht="20" customHeight="1">
      <c r="A100" s="12" t="b">
        <v>1</v>
      </c>
      <c r="B100" s="18">
        <f>IF(C100&lt;&gt;"", ROW()-8, "")</f>
        <v/>
      </c>
      <c r="C100" s="23" t="inlineStr"/>
      <c r="D100" s="18">
        <f>IF(C100&lt;&gt;"", TEXT(C100, "dddd"), "")</f>
        <v/>
      </c>
      <c r="E100" s="24" t="inlineStr"/>
      <c r="F100" s="19">
        <f>IF(E100="Abdullah AlRubiyan", "Grade 9 American (MIS)", IF(E100="Shadan", "Grade 11A (Girls)", IF(E100="Talal", "Grade 9B / 7 (Boys)", IF(E100="Nawaf", "Grade 9B / 5 (Boys)", IF(E100="Elyana", "Grade 9A / 3 (Girls)", "")))))</f>
        <v/>
      </c>
      <c r="G100" s="20">
        <f>IF(E100="Abdullah AlRubiyan", 150, IF(E100&lt;&gt;"", 125, ""))</f>
        <v/>
      </c>
      <c r="H100" s="21" t="inlineStr"/>
      <c r="I100" s="22">
        <f>IF(AND(H100&lt;&gt;"", G100&lt;&gt;""), H100*G100, "")</f>
        <v/>
      </c>
      <c r="J100" s="24" t="inlineStr"/>
      <c r="K100" s="24" t="inlineStr"/>
    </row>
    <row r="101" ht="20" customHeight="1">
      <c r="A101" s="12" t="b">
        <v>1</v>
      </c>
      <c r="B101" s="13">
        <f>IF(C101&lt;&gt;"", ROW()-8, "")</f>
        <v/>
      </c>
      <c r="C101" s="25" t="inlineStr"/>
      <c r="D101" s="13">
        <f>IF(C101&lt;&gt;"", TEXT(C101, "dddd"), "")</f>
        <v/>
      </c>
      <c r="E101" s="26" t="inlineStr"/>
      <c r="F101" s="14">
        <f>IF(E101="Abdullah AlRubiyan", "Grade 9 American (MIS)", IF(E101="Shadan", "Grade 11A (Girls)", IF(E101="Talal", "Grade 9B / 7 (Boys)", IF(E101="Nawaf", "Grade 9B / 5 (Boys)", IF(E101="Elyana", "Grade 9A / 3 (Girls)", "")))))</f>
        <v/>
      </c>
      <c r="G101" s="15">
        <f>IF(E101="Abdullah AlRubiyan", 150, IF(E101&lt;&gt;"", 125, ""))</f>
        <v/>
      </c>
      <c r="H101" s="16" t="inlineStr"/>
      <c r="I101" s="17">
        <f>IF(AND(H101&lt;&gt;"", G101&lt;&gt;""), H101*G101, "")</f>
        <v/>
      </c>
      <c r="J101" s="26" t="inlineStr"/>
      <c r="K101" s="26" t="inlineStr"/>
    </row>
    <row r="102" ht="20" customHeight="1">
      <c r="A102" s="12" t="b">
        <v>1</v>
      </c>
      <c r="B102" s="18">
        <f>IF(C102&lt;&gt;"", ROW()-8, "")</f>
        <v/>
      </c>
      <c r="C102" s="23" t="inlineStr"/>
      <c r="D102" s="18">
        <f>IF(C102&lt;&gt;"", TEXT(C102, "dddd"), "")</f>
        <v/>
      </c>
      <c r="E102" s="24" t="inlineStr"/>
      <c r="F102" s="19">
        <f>IF(E102="Abdullah AlRubiyan", "Grade 9 American (MIS)", IF(E102="Shadan", "Grade 11A (Girls)", IF(E102="Talal", "Grade 9B / 7 (Boys)", IF(E102="Nawaf", "Grade 9B / 5 (Boys)", IF(E102="Elyana", "Grade 9A / 3 (Girls)", "")))))</f>
        <v/>
      </c>
      <c r="G102" s="20">
        <f>IF(E102="Abdullah AlRubiyan", 150, IF(E102&lt;&gt;"", 125, ""))</f>
        <v/>
      </c>
      <c r="H102" s="21" t="inlineStr"/>
      <c r="I102" s="22">
        <f>IF(AND(H102&lt;&gt;"", G102&lt;&gt;""), H102*G102, "")</f>
        <v/>
      </c>
      <c r="J102" s="24" t="inlineStr"/>
      <c r="K102" s="24" t="inlineStr"/>
    </row>
    <row r="103" ht="20" customHeight="1">
      <c r="A103" s="12" t="b">
        <v>1</v>
      </c>
      <c r="B103" s="13">
        <f>IF(C103&lt;&gt;"", ROW()-8, "")</f>
        <v/>
      </c>
      <c r="C103" s="25" t="inlineStr"/>
      <c r="D103" s="13">
        <f>IF(C103&lt;&gt;"", TEXT(C103, "dddd"), "")</f>
        <v/>
      </c>
      <c r="E103" s="26" t="inlineStr"/>
      <c r="F103" s="14">
        <f>IF(E103="Abdullah AlRubiyan", "Grade 9 American (MIS)", IF(E103="Shadan", "Grade 11A (Girls)", IF(E103="Talal", "Grade 9B / 7 (Boys)", IF(E103="Nawaf", "Grade 9B / 5 (Boys)", IF(E103="Elyana", "Grade 9A / 3 (Girls)", "")))))</f>
        <v/>
      </c>
      <c r="G103" s="15">
        <f>IF(E103="Abdullah AlRubiyan", 150, IF(E103&lt;&gt;"", 125, ""))</f>
        <v/>
      </c>
      <c r="H103" s="16" t="inlineStr"/>
      <c r="I103" s="17">
        <f>IF(AND(H103&lt;&gt;"", G103&lt;&gt;""), H103*G103, "")</f>
        <v/>
      </c>
      <c r="J103" s="26" t="inlineStr"/>
      <c r="K103" s="26" t="inlineStr"/>
    </row>
    <row r="104" ht="20" customHeight="1">
      <c r="A104" s="12" t="b">
        <v>1</v>
      </c>
      <c r="B104" s="18">
        <f>IF(C104&lt;&gt;"", ROW()-8, "")</f>
        <v/>
      </c>
      <c r="C104" s="23" t="inlineStr"/>
      <c r="D104" s="18">
        <f>IF(C104&lt;&gt;"", TEXT(C104, "dddd"), "")</f>
        <v/>
      </c>
      <c r="E104" s="24" t="inlineStr"/>
      <c r="F104" s="19">
        <f>IF(E104="Abdullah AlRubiyan", "Grade 9 American (MIS)", IF(E104="Shadan", "Grade 11A (Girls)", IF(E104="Talal", "Grade 9B / 7 (Boys)", IF(E104="Nawaf", "Grade 9B / 5 (Boys)", IF(E104="Elyana", "Grade 9A / 3 (Girls)", "")))))</f>
        <v/>
      </c>
      <c r="G104" s="20">
        <f>IF(E104="Abdullah AlRubiyan", 150, IF(E104&lt;&gt;"", 125, ""))</f>
        <v/>
      </c>
      <c r="H104" s="21" t="inlineStr"/>
      <c r="I104" s="22">
        <f>IF(AND(H104&lt;&gt;"", G104&lt;&gt;""), H104*G104, "")</f>
        <v/>
      </c>
      <c r="J104" s="24" t="inlineStr"/>
      <c r="K104" s="24" t="inlineStr"/>
    </row>
    <row r="105" ht="20" customHeight="1">
      <c r="A105" s="12" t="b">
        <v>1</v>
      </c>
      <c r="B105" s="13">
        <f>IF(C105&lt;&gt;"", ROW()-8, "")</f>
        <v/>
      </c>
      <c r="C105" s="25" t="inlineStr"/>
      <c r="D105" s="13">
        <f>IF(C105&lt;&gt;"", TEXT(C105, "dddd"), "")</f>
        <v/>
      </c>
      <c r="E105" s="26" t="inlineStr"/>
      <c r="F105" s="14">
        <f>IF(E105="Abdullah AlRubiyan", "Grade 9 American (MIS)", IF(E105="Shadan", "Grade 11A (Girls)", IF(E105="Talal", "Grade 9B / 7 (Boys)", IF(E105="Nawaf", "Grade 9B / 5 (Boys)", IF(E105="Elyana", "Grade 9A / 3 (Girls)", "")))))</f>
        <v/>
      </c>
      <c r="G105" s="15">
        <f>IF(E105="Abdullah AlRubiyan", 150, IF(E105&lt;&gt;"", 125, ""))</f>
        <v/>
      </c>
      <c r="H105" s="16" t="inlineStr"/>
      <c r="I105" s="17">
        <f>IF(AND(H105&lt;&gt;"", G105&lt;&gt;""), H105*G105, "")</f>
        <v/>
      </c>
      <c r="J105" s="26" t="inlineStr"/>
      <c r="K105" s="26" t="inlineStr"/>
    </row>
    <row r="106" ht="20" customHeight="1">
      <c r="A106" s="12" t="b">
        <v>1</v>
      </c>
      <c r="B106" s="18">
        <f>IF(C106&lt;&gt;"", ROW()-8, "")</f>
        <v/>
      </c>
      <c r="C106" s="23" t="inlineStr"/>
      <c r="D106" s="18">
        <f>IF(C106&lt;&gt;"", TEXT(C106, "dddd"), "")</f>
        <v/>
      </c>
      <c r="E106" s="24" t="inlineStr"/>
      <c r="F106" s="19">
        <f>IF(E106="Abdullah AlRubiyan", "Grade 9 American (MIS)", IF(E106="Shadan", "Grade 11A (Girls)", IF(E106="Talal", "Grade 9B / 7 (Boys)", IF(E106="Nawaf", "Grade 9B / 5 (Boys)", IF(E106="Elyana", "Grade 9A / 3 (Girls)", "")))))</f>
        <v/>
      </c>
      <c r="G106" s="20">
        <f>IF(E106="Abdullah AlRubiyan", 150, IF(E106&lt;&gt;"", 125, ""))</f>
        <v/>
      </c>
      <c r="H106" s="21" t="inlineStr"/>
      <c r="I106" s="22">
        <f>IF(AND(H106&lt;&gt;"", G106&lt;&gt;""), H106*G106, "")</f>
        <v/>
      </c>
      <c r="J106" s="24" t="inlineStr"/>
      <c r="K106" s="24" t="inlineStr"/>
    </row>
    <row r="107" ht="20" customHeight="1">
      <c r="A107" s="12" t="b">
        <v>1</v>
      </c>
      <c r="B107" s="13">
        <f>IF(C107&lt;&gt;"", ROW()-8, "")</f>
        <v/>
      </c>
      <c r="C107" s="25" t="inlineStr"/>
      <c r="D107" s="13">
        <f>IF(C107&lt;&gt;"", TEXT(C107, "dddd"), "")</f>
        <v/>
      </c>
      <c r="E107" s="26" t="inlineStr"/>
      <c r="F107" s="14">
        <f>IF(E107="Abdullah AlRubiyan", "Grade 9 American (MIS)", IF(E107="Shadan", "Grade 11A (Girls)", IF(E107="Talal", "Grade 9B / 7 (Boys)", IF(E107="Nawaf", "Grade 9B / 5 (Boys)", IF(E107="Elyana", "Grade 9A / 3 (Girls)", "")))))</f>
        <v/>
      </c>
      <c r="G107" s="15">
        <f>IF(E107="Abdullah AlRubiyan", 150, IF(E107&lt;&gt;"", 125, ""))</f>
        <v/>
      </c>
      <c r="H107" s="16" t="inlineStr"/>
      <c r="I107" s="17">
        <f>IF(AND(H107&lt;&gt;"", G107&lt;&gt;""), H107*G107, "")</f>
        <v/>
      </c>
      <c r="J107" s="26" t="inlineStr"/>
      <c r="K107" s="26" t="inlineStr"/>
    </row>
    <row r="108" ht="20" customHeight="1">
      <c r="A108" s="12" t="b">
        <v>1</v>
      </c>
      <c r="B108" s="18">
        <f>IF(C108&lt;&gt;"", ROW()-8, "")</f>
        <v/>
      </c>
      <c r="C108" s="23" t="inlineStr"/>
      <c r="D108" s="18">
        <f>IF(C108&lt;&gt;"", TEXT(C108, "dddd"), "")</f>
        <v/>
      </c>
      <c r="E108" s="24" t="inlineStr"/>
      <c r="F108" s="19">
        <f>IF(E108="Abdullah AlRubiyan", "Grade 9 American (MIS)", IF(E108="Shadan", "Grade 11A (Girls)", IF(E108="Talal", "Grade 9B / 7 (Boys)", IF(E108="Nawaf", "Grade 9B / 5 (Boys)", IF(E108="Elyana", "Grade 9A / 3 (Girls)", "")))))</f>
        <v/>
      </c>
      <c r="G108" s="20">
        <f>IF(E108="Abdullah AlRubiyan", 150, IF(E108&lt;&gt;"", 125, ""))</f>
        <v/>
      </c>
      <c r="H108" s="21" t="inlineStr"/>
      <c r="I108" s="22">
        <f>IF(AND(H108&lt;&gt;"", G108&lt;&gt;""), H108*G108, "")</f>
        <v/>
      </c>
      <c r="J108" s="24" t="inlineStr"/>
      <c r="K108" s="24" t="inlineStr"/>
    </row>
    <row r="109" ht="24" customHeight="1">
      <c r="A109" s="27" t="inlineStr">
        <is>
          <t>TOTAL TICKED SESSIONS &amp; BILLING</t>
        </is>
      </c>
      <c r="B109" s="28" t="n"/>
      <c r="C109" s="28" t="n"/>
      <c r="D109" s="28" t="n"/>
      <c r="E109" s="28" t="n"/>
      <c r="F109" s="28" t="n"/>
      <c r="G109" s="28" t="n"/>
      <c r="H109" s="29">
        <f>SUMIF(A9:A108, TRUE, H9:H108)</f>
        <v/>
      </c>
      <c r="I109" s="30">
        <f>SUMIF(A9:A108, TRUE, I9:I108)</f>
        <v/>
      </c>
      <c r="J109" s="31" t="inlineStr">
        <is>
          <t>Live auto-reading: enter hours in any row above and it calculates instantly</t>
        </is>
      </c>
      <c r="K109" s="32" t="n"/>
    </row>
  </sheetData>
  <mergeCells count="12">
    <mergeCell ref="J4:K4"/>
    <mergeCell ref="D5:F5"/>
    <mergeCell ref="A5:C5"/>
    <mergeCell ref="G5:I5"/>
    <mergeCell ref="J5:K5"/>
    <mergeCell ref="D4:F4"/>
    <mergeCell ref="A109:G109"/>
    <mergeCell ref="A2:K2"/>
    <mergeCell ref="G4:I4"/>
    <mergeCell ref="A4:C4"/>
    <mergeCell ref="A1:K1"/>
    <mergeCell ref="J109:K109"/>
  </mergeCells>
  <dataValidations count="2">
    <dataValidation sqref="A9:A108" showDropDown="0" showInputMessage="0" showErrorMessage="0" allowBlank="1" errorTitle="Invalid Value" error="Please select TRUE (Attended) or FALSE (Excluded)" type="list">
      <formula1>"TRUE,FALSE"</formula1>
    </dataValidation>
    <dataValidation sqref="E9:E108" showDropDown="0" showInputMessage="0" showErrorMessage="0" allowBlank="1" errorTitle="Select Student" error="Please select a registered student" type="list">
      <formula1>"Shadan,Talal,Nawaf,Elyana,Abdullah AlRubiyan"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4" customWidth="1" min="2" max="2"/>
    <col width="18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 ht="28" customHeight="1">
      <c r="A1" s="1" t="inlineStr">
        <is>
          <t>STUDENT BILLING &amp; ATTENDANCE SUMMARY</t>
        </is>
      </c>
    </row>
    <row r="2" ht="18" customHeight="1">
      <c r="A2" s="2" t="inlineStr">
        <is>
          <t>Official summary for all active students (Shadan, Talal, Nawaf, Elyana, Abdullah AlRubiyan)</t>
        </is>
      </c>
    </row>
    <row r="4" ht="24" customHeight="1">
      <c r="A4" s="10" t="inlineStr">
        <is>
          <t>Student Name</t>
        </is>
      </c>
      <c r="B4" s="10" t="inlineStr">
        <is>
          <t>Grade / School</t>
        </is>
      </c>
      <c r="C4" s="11" t="inlineStr">
        <is>
          <t>Hourly Rate (SAR)</t>
        </is>
      </c>
      <c r="D4" s="11" t="inlineStr">
        <is>
          <t>Total Sessions</t>
        </is>
      </c>
      <c r="E4" s="11" t="inlineStr">
        <is>
          <t>Total Hours</t>
        </is>
      </c>
      <c r="F4" s="11" t="inlineStr">
        <is>
          <t>Total Amount (SAR)</t>
        </is>
      </c>
      <c r="G4" s="11" t="inlineStr">
        <is>
          <t>% of Total Billing</t>
        </is>
      </c>
    </row>
    <row r="5" ht="22" customHeight="1">
      <c r="A5" s="14" t="inlineStr">
        <is>
          <t>Shadan Alloush</t>
        </is>
      </c>
      <c r="B5" s="14" t="inlineStr">
        <is>
          <t>Grade 11A (Girls)</t>
        </is>
      </c>
      <c r="C5" s="15" t="n">
        <v>125</v>
      </c>
      <c r="D5" s="33" t="n">
        <v>8</v>
      </c>
      <c r="E5" s="34" t="n">
        <v>10.5</v>
      </c>
      <c r="F5" s="15" t="n">
        <v>1312.5</v>
      </c>
      <c r="G5" s="35">
        <f>F5/$F$10</f>
        <v/>
      </c>
    </row>
    <row r="6" ht="22" customHeight="1">
      <c r="A6" s="14" t="inlineStr">
        <is>
          <t>Talal Alloush</t>
        </is>
      </c>
      <c r="B6" s="14" t="inlineStr">
        <is>
          <t>Grade 9B / 7 (Boys)</t>
        </is>
      </c>
      <c r="C6" s="15" t="n">
        <v>125</v>
      </c>
      <c r="D6" s="33" t="n">
        <v>10</v>
      </c>
      <c r="E6" s="34" t="n">
        <v>8.5</v>
      </c>
      <c r="F6" s="15" t="n">
        <v>1062.5</v>
      </c>
      <c r="G6" s="35">
        <f>F6/$F$10</f>
        <v/>
      </c>
    </row>
    <row r="7" ht="22" customHeight="1">
      <c r="A7" s="14" t="inlineStr">
        <is>
          <t>Nawaf Alloush</t>
        </is>
      </c>
      <c r="B7" s="14" t="inlineStr">
        <is>
          <t>Grade 9B / 5 (Boys)</t>
        </is>
      </c>
      <c r="C7" s="15" t="n">
        <v>125</v>
      </c>
      <c r="D7" s="33" t="n">
        <v>8</v>
      </c>
      <c r="E7" s="34" t="n">
        <v>6.5</v>
      </c>
      <c r="F7" s="15" t="n">
        <v>812.5</v>
      </c>
      <c r="G7" s="35">
        <f>F7/$F$10</f>
        <v/>
      </c>
    </row>
    <row r="8" ht="22" customHeight="1">
      <c r="A8" s="14" t="inlineStr">
        <is>
          <t>Elyana Alloush</t>
        </is>
      </c>
      <c r="B8" s="14" t="inlineStr">
        <is>
          <t>Grade 9A / 3 (Girls)</t>
        </is>
      </c>
      <c r="C8" s="15" t="n">
        <v>125</v>
      </c>
      <c r="D8" s="33" t="n">
        <v>7</v>
      </c>
      <c r="E8" s="34" t="n">
        <v>6</v>
      </c>
      <c r="F8" s="15" t="n">
        <v>750</v>
      </c>
      <c r="G8" s="35">
        <f>F8/$F$10</f>
        <v/>
      </c>
    </row>
    <row r="9" ht="22" customHeight="1">
      <c r="A9" s="14" t="inlineStr">
        <is>
          <t>Abdullah AlRubiyan</t>
        </is>
      </c>
      <c r="B9" s="14" t="inlineStr">
        <is>
          <t>Grade 9 American (MIS)</t>
        </is>
      </c>
      <c r="C9" s="15" t="n">
        <v>150</v>
      </c>
      <c r="D9" s="33" t="n">
        <v>4</v>
      </c>
      <c r="E9" s="34" t="n">
        <v>4</v>
      </c>
      <c r="F9" s="15" t="n">
        <v>600</v>
      </c>
      <c r="G9" s="35">
        <f>F9/$F$10</f>
        <v/>
      </c>
    </row>
    <row r="10" ht="24" customHeight="1">
      <c r="A10" s="36" t="inlineStr">
        <is>
          <t>GRAND TOTAL</t>
        </is>
      </c>
      <c r="B10" s="32" t="n"/>
      <c r="C10" s="37" t="inlineStr">
        <is>
          <t>—</t>
        </is>
      </c>
      <c r="D10" s="27">
        <f>SUM(D5:D9)</f>
        <v/>
      </c>
      <c r="E10" s="38">
        <f>SUM(E5:E9)</f>
        <v/>
      </c>
      <c r="F10" s="30">
        <f>SUM(F5:F9)</f>
        <v/>
      </c>
      <c r="G10" s="27" t="inlineStr">
        <is>
          <t>100.0%</t>
        </is>
      </c>
    </row>
  </sheetData>
  <mergeCells count="3">
    <mergeCell ref="A2:G2"/>
    <mergeCell ref="A1:G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2026-10-19T20:46:16Z</dcterms:created>
  <dcterms:modified xmlns:dcterms="http://purl.org/dc/terms/" xmlns:xsi="http://www.w3.org/2001/XMLSchema-instance" xsi:type="dcterms:W3CDTF">2026-10-19T20:46:16Z</dcterms:modified>
</cp:coreProperties>
</file>